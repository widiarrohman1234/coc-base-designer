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coc-base-designer\data\"/>
    </mc:Choice>
  </mc:AlternateContent>
  <xr:revisionPtr revIDLastSave="0" documentId="13_ncr:1_{BFDE01C8-6827-490F-902A-910252525D1F}" xr6:coauthVersionLast="47" xr6:coauthVersionMax="47" xr10:uidLastSave="{00000000-0000-0000-0000-000000000000}"/>
  <bookViews>
    <workbookView xWindow="-108" yWindow="-108" windowWidth="23256" windowHeight="12456" xr2:uid="{990ECCB1-38A2-40BE-9CA8-CCE9A9FAB587}"/>
  </bookViews>
  <sheets>
    <sheet name="Mortar" sheetId="4" r:id="rId1"/>
    <sheet name="Archer Tower" sheetId="3" r:id="rId2"/>
    <sheet name="canon" sheetId="2" r:id="rId3"/>
  </sheets>
  <calcPr calcId="191029"/>
</workbook>
</file>

<file path=xl/calcChain.xml><?xml version="1.0" encoding="utf-8"?>
<calcChain xmlns="http://schemas.openxmlformats.org/spreadsheetml/2006/main">
  <c r="R25" i="4" l="1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8" i="3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</calcChain>
</file>

<file path=xl/sharedStrings.xml><?xml version="1.0" encoding="utf-8"?>
<sst xmlns="http://schemas.openxmlformats.org/spreadsheetml/2006/main" count="513" uniqueCount="95">
  <si>
    <t>Town Hall Level</t>
  </si>
  <si>
    <t>Number Available</t>
  </si>
  <si>
    <t>7/3*</t>
  </si>
  <si>
    <t>7/0*</t>
  </si>
  <si>
    <t>Size </t>
  </si>
  <si>
    <t>3x3</t>
  </si>
  <si>
    <t>Level</t>
  </si>
  <si>
    <t>Damage per Second</t>
  </si>
  <si>
    <t>Damage per Shot</t>
  </si>
  <si>
    <t>Hitpoints</t>
  </si>
  <si>
    <t>Build Cost</t>
  </si>
  <si>
    <t>Build Time</t>
  </si>
  <si>
    <t>Experience Gained</t>
  </si>
  <si>
    <t>Town Hall Level Required</t>
  </si>
  <si>
    <t>5.6</t>
  </si>
  <si>
    <t>5s</t>
  </si>
  <si>
    <t>30s</t>
  </si>
  <si>
    <t>10.4</t>
  </si>
  <si>
    <t>2m</t>
  </si>
  <si>
    <t>13.6</t>
  </si>
  <si>
    <t>20m</t>
  </si>
  <si>
    <t>18.4</t>
  </si>
  <si>
    <t>30m</t>
  </si>
  <si>
    <t>1h</t>
  </si>
  <si>
    <t>2h</t>
  </si>
  <si>
    <t>38.4</t>
  </si>
  <si>
    <t>3h</t>
  </si>
  <si>
    <t>44.8</t>
  </si>
  <si>
    <t>3h 30m</t>
  </si>
  <si>
    <t>51.2</t>
  </si>
  <si>
    <t>4h</t>
  </si>
  <si>
    <t>59.2</t>
  </si>
  <si>
    <t>4h 30m</t>
  </si>
  <si>
    <t>5h</t>
  </si>
  <si>
    <t>6h</t>
  </si>
  <si>
    <t>8h</t>
  </si>
  <si>
    <t>10h</t>
  </si>
  <si>
    <t>11h</t>
  </si>
  <si>
    <t>12h</t>
  </si>
  <si>
    <t>16h</t>
  </si>
  <si>
    <t>20h</t>
  </si>
  <si>
    <t>1d</t>
  </si>
  <si>
    <t>1d 12h</t>
  </si>
  <si>
    <t>Attack Speed </t>
  </si>
  <si>
    <t>Damage Type </t>
  </si>
  <si>
    <t>Unit Type Targeted </t>
  </si>
  <si>
    <t>0.8s</t>
  </si>
  <si>
    <t>Single Target</t>
  </si>
  <si>
    <t>Ground</t>
  </si>
  <si>
    <t>Name</t>
  </si>
  <si>
    <t>ID</t>
  </si>
  <si>
    <t>Code</t>
  </si>
  <si>
    <t>CN</t>
  </si>
  <si>
    <t>Canon</t>
  </si>
  <si>
    <t>1.06</t>
  </si>
  <si>
    <t>1.16</t>
  </si>
  <si>
    <t>1.26</t>
  </si>
  <si>
    <t>1.38</t>
  </si>
  <si>
    <t>1.5</t>
  </si>
  <si>
    <t>1.62</t>
  </si>
  <si>
    <t>1.74</t>
  </si>
  <si>
    <t>1.87</t>
  </si>
  <si>
    <t>2.15</t>
  </si>
  <si>
    <t>2.25</t>
  </si>
  <si>
    <t>8/4*</t>
  </si>
  <si>
    <t>9/2*</t>
  </si>
  <si>
    <t>5.5</t>
  </si>
  <si>
    <t>15s</t>
  </si>
  <si>
    <t>7.5</t>
  </si>
  <si>
    <t>9.5</t>
  </si>
  <si>
    <t>12.5</t>
  </si>
  <si>
    <t>1h 30m</t>
  </si>
  <si>
    <t>17.5</t>
  </si>
  <si>
    <t>31.5</t>
  </si>
  <si>
    <t>7h</t>
  </si>
  <si>
    <t>42.5</t>
  </si>
  <si>
    <t>1d 6h</t>
  </si>
  <si>
    <t>67.5</t>
  </si>
  <si>
    <t>72.5</t>
  </si>
  <si>
    <t>2d</t>
  </si>
  <si>
    <t>0.5s</t>
  </si>
  <si>
    <t>Ground &amp; Air</t>
  </si>
  <si>
    <t>Archer Tower</t>
  </si>
  <si>
    <t>AC</t>
  </si>
  <si>
    <t>Mortar</t>
  </si>
  <si>
    <t>MRT</t>
  </si>
  <si>
    <t>18h</t>
  </si>
  <si>
    <t>2d 12h</t>
  </si>
  <si>
    <t>3d</t>
  </si>
  <si>
    <t>4d</t>
  </si>
  <si>
    <t>5d</t>
  </si>
  <si>
    <t>12d 12h</t>
  </si>
  <si>
    <t>Splash (1.5 tiles)</t>
  </si>
  <si>
    <t xml:space="preserve">min_range </t>
  </si>
  <si>
    <t>max_range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</si>
</sst>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3A3A3A"/>
      <name val="Arial"/>
      <family val="2"/>
    </font>
    <font>
      <sz val="10"/>
      <color rgb="FF3A3A3A"/>
      <name val="Arial"/>
      <family val="2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EEEEE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CECECE"/>
      </bottom>
      <diagonal/>
    </border>
    <border>
      <left/>
      <right/>
      <top/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/>
      <bottom style="medium">
        <color rgb="FFCECE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ECECE"/>
      </right>
      <top style="medium">
        <color rgb="FFCECECE"/>
      </top>
      <bottom style="medium">
        <color rgb="FFCECECE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7">
    <xf numFmtId="0" fontId="0" fillId="0" borderId="0" xfId="0"/>
    <xf numFmtId="0" fontId="21" fillId="33" borderId="10" xfId="42" applyFill="1" applyBorder="1" applyAlignment="1">
      <alignment horizontal="left" vertical="center" wrapText="1" indent="1"/>
    </xf>
    <xf numFmtId="0" fontId="19" fillId="0" borderId="10" xfId="0" applyFont="1" applyBorder="1" applyAlignment="1">
      <alignment horizontal="center" vertical="center" wrapText="1"/>
    </xf>
    <xf numFmtId="0" fontId="18" fillId="33" borderId="10" xfId="0" applyFont="1" applyFill="1" applyBorder="1" applyAlignment="1">
      <alignment horizontal="left" vertical="center" wrapText="1" indent="1"/>
    </xf>
    <xf numFmtId="0" fontId="19" fillId="34" borderId="10" xfId="0" applyFont="1" applyFill="1" applyBorder="1" applyAlignment="1">
      <alignment horizontal="left" vertical="center" wrapText="1" indent="1"/>
    </xf>
    <xf numFmtId="0" fontId="20" fillId="0" borderId="10" xfId="0" applyFont="1" applyBorder="1" applyAlignment="1">
      <alignment horizontal="left" vertical="center" wrapText="1" indent="1"/>
    </xf>
    <xf numFmtId="0" fontId="18" fillId="33" borderId="11" xfId="0" applyFont="1" applyFill="1" applyBorder="1" applyAlignment="1">
      <alignment horizontal="left" vertical="center" wrapText="1" indent="1"/>
    </xf>
    <xf numFmtId="0" fontId="20" fillId="0" borderId="11" xfId="0" applyFont="1" applyBorder="1" applyAlignment="1">
      <alignment horizontal="left" vertical="center" wrapText="1" indent="1"/>
    </xf>
    <xf numFmtId="0" fontId="20" fillId="35" borderId="12" xfId="0" applyFont="1" applyFill="1" applyBorder="1" applyAlignment="1">
      <alignment vertical="center" wrapText="1"/>
    </xf>
    <xf numFmtId="0" fontId="20" fillId="35" borderId="12" xfId="0" applyFont="1" applyFill="1" applyBorder="1" applyAlignment="1">
      <alignment vertical="center"/>
    </xf>
    <xf numFmtId="0" fontId="19" fillId="34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/>
    </xf>
    <xf numFmtId="0" fontId="19" fillId="36" borderId="12" xfId="0" applyFont="1" applyFill="1" applyBorder="1" applyAlignment="1">
      <alignment horizontal="center" vertical="center" wrapText="1"/>
    </xf>
    <xf numFmtId="0" fontId="19" fillId="36" borderId="15" xfId="0" applyFont="1" applyFill="1" applyBorder="1" applyAlignment="1">
      <alignment horizontal="center" vertical="center" wrapText="1"/>
    </xf>
    <xf numFmtId="0" fontId="20" fillId="35" borderId="13" xfId="0" applyFont="1" applyFill="1" applyBorder="1" applyAlignment="1">
      <alignment vertical="center" wrapText="1"/>
    </xf>
    <xf numFmtId="0" fontId="20" fillId="35" borderId="13" xfId="0" applyFont="1" applyFill="1" applyBorder="1" applyAlignment="1">
      <alignment vertical="center"/>
    </xf>
    <xf numFmtId="0" fontId="0" fillId="0" borderId="14" xfId="0" applyBorder="1"/>
    <xf numFmtId="0" fontId="18" fillId="33" borderId="14" xfId="0" applyFont="1" applyFill="1" applyBorder="1" applyAlignment="1">
      <alignment horizontal="left" vertical="center" wrapText="1" indent="1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3" fontId="20" fillId="35" borderId="12" xfId="0" applyNumberFormat="1" applyFont="1" applyFill="1" applyBorder="1" applyAlignment="1">
      <alignment vertical="center" wrapText="1"/>
    </xf>
    <xf numFmtId="3" fontId="20" fillId="36" borderId="12" xfId="0" applyNumberFormat="1" applyFont="1" applyFill="1" applyBorder="1" applyAlignment="1">
      <alignment vertical="center" wrapText="1"/>
    </xf>
    <xf numFmtId="2" fontId="19" fillId="36" borderId="14" xfId="0" applyNumberFormat="1" applyFont="1" applyFill="1" applyBorder="1" applyAlignment="1">
      <alignment horizontal="center" vertical="center" wrapText="1"/>
    </xf>
    <xf numFmtId="0" fontId="20" fillId="35" borderId="12" xfId="0" applyNumberFormat="1" applyFont="1" applyFill="1" applyBorder="1" applyAlignment="1">
      <alignment vertical="center" wrapText="1"/>
    </xf>
    <xf numFmtId="0" fontId="0" fillId="0" borderId="0" xfId="0" applyBorder="1"/>
    <xf numFmtId="0" fontId="18" fillId="33" borderId="0" xfId="0" applyFont="1" applyFill="1" applyBorder="1" applyAlignment="1">
      <alignment horizontal="left" vertical="center" wrapText="1" inden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0674C7B-BF8E-4DA8-94C6-9BBE7010DEFD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736D4203-89DD-42F5-9153-EA5BD045B87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DD22D101-F2CD-4E2F-B4DB-F1689615CA8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9CDC99C6-C3A8-4832-A58C-614E3E7E47A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9732B9C-6C19-4222-A80E-073FAAADD5B3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A465409-CFBB-4179-BC22-CD446B3AB9E0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E47A264-350E-423D-84A5-9148E4A88B3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D58E467-1524-4FB3-891D-7191A9401F7D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AE247D23-A563-4EFB-A77F-B03B79A262E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3F577168-229F-4C2E-B71B-96EB81EB833E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C424EE-46AA-4EBF-B856-C2AFD1A06C9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E1CCB4F-2719-430F-920D-216296F81DC6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9989FFE-E496-4230-861B-9DBB22C8DEA6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A05486-D55F-48C1-B0C7-2C7E38887D7B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4EBB3AB-286E-490D-B600-2947D1D15BE3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F7B9FFB-9951-48C7-A17C-B6ACBF714ECA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1F86F31-1F62-4CD0-9BBA-6077ACF881DE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0524D65-A020-4383-87DE-81C6FB02D86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422203FD-CA08-4590-9E15-E86823B9F8FB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F5745F97-D99A-4DAE-A0E6-E6F54B54C1EE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E7E888B-53E6-4004-8350-8A658D362AC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A2618C2-D7A9-4BBC-B830-4E6B25630AC7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BDB0F8DE-96C1-43AA-B51E-6DE7C416F7B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26250BFE-13FB-4D84-9F14-448A866C821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089A80A-DD81-4181-BE27-5AC23F08541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56BC7C6-3A17-409A-9B49-C19343673B7B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B4B66616-0DB7-44C3-91A3-52B836CC50A5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22D53FD8-5527-477D-AEB0-1C1CE241D64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18AD533-325E-42CE-836E-4ECCA0EDAD6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2B334C10-2C24-4230-90CF-2530A44488FF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4F4BD367-AB43-4146-9BE4-07576F65DAF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BE6C93AC-5F1B-49B1-B48D-006872263F6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4E93C8BC-F211-4BAC-B9B6-4D5290DFD76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B850250-A78B-4097-8ED6-4603D547602E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67ACA122-3DD8-407F-A617-31FDB161E62D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E4A22D00-5498-423F-BBB1-F77A9695F29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768A6DBC-1A74-44EF-8DD7-94DAF2DE15E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9A7E843A-54A9-4312-A8C1-69BB3B9DDB19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D3D2DEB-34B9-4C28-86AD-9392B6B7A305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E670FB1D-A96F-44BF-9573-4B29B81D7616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8186C7A-FA3A-44E4-BB3F-2F5ED937F4A8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21FD9B4B-2EAC-43E4-BC95-F4F056268AD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23B77-A104-455C-894E-A403F223B5E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4" name="AutoShape 18" descr="Range">
          <a:extLst>
            <a:ext uri="{FF2B5EF4-FFF2-40B4-BE49-F238E27FC236}">
              <a16:creationId xmlns:a16="http://schemas.microsoft.com/office/drawing/2014/main" id="{381B50FB-A129-4E33-AE50-F5ED47FA22B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049" name="AutoShape 1" descr="Size">
          <a:extLst>
            <a:ext uri="{FF2B5EF4-FFF2-40B4-BE49-F238E27FC236}">
              <a16:creationId xmlns:a16="http://schemas.microsoft.com/office/drawing/2014/main" id="{96231B7C-2DFB-E3F0-19E0-9ADD79B07DF9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1" name="AutoShape 3" descr="Damage">
          <a:extLst>
            <a:ext uri="{FF2B5EF4-FFF2-40B4-BE49-F238E27FC236}">
              <a16:creationId xmlns:a16="http://schemas.microsoft.com/office/drawing/2014/main" id="{283EF612-3F4F-7F5E-750F-866CCFBC585B}"/>
            </a:ext>
          </a:extLst>
        </xdr:cNvPr>
        <xdr:cNvSpPr>
          <a:spLocks noChangeAspect="1" noChangeArrowheads="1"/>
        </xdr:cNvSpPr>
      </xdr:nvSpPr>
      <xdr:spPr bwMode="auto">
        <a:xfrm>
          <a:off x="7924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52" name="AutoShape 4" descr="Damage">
          <a:extLst>
            <a:ext uri="{FF2B5EF4-FFF2-40B4-BE49-F238E27FC236}">
              <a16:creationId xmlns:a16="http://schemas.microsoft.com/office/drawing/2014/main" id="{941C3E1C-2460-D4A7-5DF6-06A03F20BA51}"/>
            </a:ext>
          </a:extLst>
        </xdr:cNvPr>
        <xdr:cNvSpPr>
          <a:spLocks noChangeAspect="1" noChangeArrowheads="1"/>
        </xdr:cNvSpPr>
      </xdr:nvSpPr>
      <xdr:spPr bwMode="auto">
        <a:xfrm>
          <a:off x="14020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53" name="AutoShape 5" descr="Hitpoints">
          <a:extLst>
            <a:ext uri="{FF2B5EF4-FFF2-40B4-BE49-F238E27FC236}">
              <a16:creationId xmlns:a16="http://schemas.microsoft.com/office/drawing/2014/main" id="{9D9314CA-3170-5634-316A-978665BD443C}"/>
            </a:ext>
          </a:extLst>
        </xdr:cNvPr>
        <xdr:cNvSpPr>
          <a:spLocks noChangeAspect="1" noChangeArrowheads="1"/>
        </xdr:cNvSpPr>
      </xdr:nvSpPr>
      <xdr:spPr bwMode="auto">
        <a:xfrm>
          <a:off x="2011680" y="16459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54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F32C88B9-43B4-1D40-F34D-19BBCF00C2C5}"/>
            </a:ext>
          </a:extLst>
        </xdr:cNvPr>
        <xdr:cNvSpPr>
          <a:spLocks noChangeAspect="1" noChangeArrowheads="1"/>
        </xdr:cNvSpPr>
      </xdr:nvSpPr>
      <xdr:spPr bwMode="auto">
        <a:xfrm>
          <a:off x="2621280" y="16459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55" name="AutoShape 7" descr="Time">
          <a:extLst>
            <a:ext uri="{FF2B5EF4-FFF2-40B4-BE49-F238E27FC236}">
              <a16:creationId xmlns:a16="http://schemas.microsoft.com/office/drawing/2014/main" id="{254B8E10-C1FF-730A-7017-2FDC644D0B48}"/>
            </a:ext>
          </a:extLst>
        </xdr:cNvPr>
        <xdr:cNvSpPr>
          <a:spLocks noChangeAspect="1" noChangeArrowheads="1"/>
        </xdr:cNvSpPr>
      </xdr:nvSpPr>
      <xdr:spPr bwMode="auto">
        <a:xfrm>
          <a:off x="3230880" y="16459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56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67D3127-398B-7552-1596-13F312A5A989}"/>
            </a:ext>
          </a:extLst>
        </xdr:cNvPr>
        <xdr:cNvSpPr>
          <a:spLocks noChangeAspect="1" noChangeArrowheads="1"/>
        </xdr:cNvSpPr>
      </xdr:nvSpPr>
      <xdr:spPr bwMode="auto">
        <a:xfrm>
          <a:off x="3840480" y="16459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57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C762934-CF29-0419-3939-ED0D31B695C4}"/>
            </a:ext>
          </a:extLst>
        </xdr:cNvPr>
        <xdr:cNvSpPr>
          <a:spLocks noChangeAspect="1" noChangeArrowheads="1"/>
        </xdr:cNvSpPr>
      </xdr:nvSpPr>
      <xdr:spPr bwMode="auto">
        <a:xfrm>
          <a:off x="4450080" y="164592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2058" name="AutoShape 10" descr="Level">
          <a:extLst>
            <a:ext uri="{FF2B5EF4-FFF2-40B4-BE49-F238E27FC236}">
              <a16:creationId xmlns:a16="http://schemas.microsoft.com/office/drawing/2014/main" id="{39DAA22D-360E-5C57-7CF9-2DB67A39A602}"/>
            </a:ext>
          </a:extLst>
        </xdr:cNvPr>
        <xdr:cNvSpPr>
          <a:spLocks noChangeAspect="1" noChangeArrowheads="1"/>
        </xdr:cNvSpPr>
      </xdr:nvSpPr>
      <xdr:spPr bwMode="auto">
        <a:xfrm>
          <a:off x="0" y="21945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9" name="AutoShape 11" descr="Damage">
          <a:extLst>
            <a:ext uri="{FF2B5EF4-FFF2-40B4-BE49-F238E27FC236}">
              <a16:creationId xmlns:a16="http://schemas.microsoft.com/office/drawing/2014/main" id="{E645C9B7-1944-594F-2402-786521A39C0B}"/>
            </a:ext>
          </a:extLst>
        </xdr:cNvPr>
        <xdr:cNvSpPr>
          <a:spLocks noChangeAspect="1" noChangeArrowheads="1"/>
        </xdr:cNvSpPr>
      </xdr:nvSpPr>
      <xdr:spPr bwMode="auto">
        <a:xfrm>
          <a:off x="7924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60" name="AutoShape 12" descr="Damage">
          <a:extLst>
            <a:ext uri="{FF2B5EF4-FFF2-40B4-BE49-F238E27FC236}">
              <a16:creationId xmlns:a16="http://schemas.microsoft.com/office/drawing/2014/main" id="{345D477E-C6CE-1300-F7A4-DA3E86B1CE0F}"/>
            </a:ext>
          </a:extLst>
        </xdr:cNvPr>
        <xdr:cNvSpPr>
          <a:spLocks noChangeAspect="1" noChangeArrowheads="1"/>
        </xdr:cNvSpPr>
      </xdr:nvSpPr>
      <xdr:spPr bwMode="auto">
        <a:xfrm>
          <a:off x="14020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61" name="AutoShape 13" descr="Hitpoints">
          <a:extLst>
            <a:ext uri="{FF2B5EF4-FFF2-40B4-BE49-F238E27FC236}">
              <a16:creationId xmlns:a16="http://schemas.microsoft.com/office/drawing/2014/main" id="{60DF727D-1994-83B9-7675-9873B515ED3D}"/>
            </a:ext>
          </a:extLst>
        </xdr:cNvPr>
        <xdr:cNvSpPr>
          <a:spLocks noChangeAspect="1" noChangeArrowheads="1"/>
        </xdr:cNvSpPr>
      </xdr:nvSpPr>
      <xdr:spPr bwMode="auto">
        <a:xfrm>
          <a:off x="2011680" y="2194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62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240438F-AE16-C17B-9974-BAE5B0BAD022}"/>
            </a:ext>
          </a:extLst>
        </xdr:cNvPr>
        <xdr:cNvSpPr>
          <a:spLocks noChangeAspect="1" noChangeArrowheads="1"/>
        </xdr:cNvSpPr>
      </xdr:nvSpPr>
      <xdr:spPr bwMode="auto">
        <a:xfrm>
          <a:off x="2621280" y="21945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63" name="AutoShape 15" descr="Time">
          <a:extLst>
            <a:ext uri="{FF2B5EF4-FFF2-40B4-BE49-F238E27FC236}">
              <a16:creationId xmlns:a16="http://schemas.microsoft.com/office/drawing/2014/main" id="{D4414947-68E9-D10C-9A3C-CA9C2A4EB4A9}"/>
            </a:ext>
          </a:extLst>
        </xdr:cNvPr>
        <xdr:cNvSpPr>
          <a:spLocks noChangeAspect="1" noChangeArrowheads="1"/>
        </xdr:cNvSpPr>
      </xdr:nvSpPr>
      <xdr:spPr bwMode="auto">
        <a:xfrm>
          <a:off x="3230880" y="21945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64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89359DE-DC5D-DA44-23E9-E3D026649357}"/>
            </a:ext>
          </a:extLst>
        </xdr:cNvPr>
        <xdr:cNvSpPr>
          <a:spLocks noChangeAspect="1" noChangeArrowheads="1"/>
        </xdr:cNvSpPr>
      </xdr:nvSpPr>
      <xdr:spPr bwMode="auto">
        <a:xfrm>
          <a:off x="3840480" y="21945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65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E0EDDFB-2287-2A30-C80B-B7F93F4118BE}"/>
            </a:ext>
          </a:extLst>
        </xdr:cNvPr>
        <xdr:cNvSpPr>
          <a:spLocks noChangeAspect="1" noChangeArrowheads="1"/>
        </xdr:cNvSpPr>
      </xdr:nvSpPr>
      <xdr:spPr bwMode="auto">
        <a:xfrm>
          <a:off x="4450080" y="2194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66" name="AutoShape 18" descr="Range">
          <a:extLst>
            <a:ext uri="{FF2B5EF4-FFF2-40B4-BE49-F238E27FC236}">
              <a16:creationId xmlns:a16="http://schemas.microsoft.com/office/drawing/2014/main" id="{C04DEBEF-6544-8BBB-99B3-338F6795684B}"/>
            </a:ext>
          </a:extLst>
        </xdr:cNvPr>
        <xdr:cNvSpPr>
          <a:spLocks noChangeAspect="1" noChangeArrowheads="1"/>
        </xdr:cNvSpPr>
      </xdr:nvSpPr>
      <xdr:spPr bwMode="auto">
        <a:xfrm>
          <a:off x="0" y="77952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2067" name="AutoShape 19" descr="Attack Speed">
          <a:extLst>
            <a:ext uri="{FF2B5EF4-FFF2-40B4-BE49-F238E27FC236}">
              <a16:creationId xmlns:a16="http://schemas.microsoft.com/office/drawing/2014/main" id="{99A55E84-77E5-152A-6A37-BC59999EB7F2}"/>
            </a:ext>
          </a:extLst>
        </xdr:cNvPr>
        <xdr:cNvSpPr>
          <a:spLocks noChangeAspect="1" noChangeArrowheads="1"/>
        </xdr:cNvSpPr>
      </xdr:nvSpPr>
      <xdr:spPr bwMode="auto">
        <a:xfrm>
          <a:off x="792480" y="77952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68" name="AutoShape 20" descr="Damage Type">
          <a:extLst>
            <a:ext uri="{FF2B5EF4-FFF2-40B4-BE49-F238E27FC236}">
              <a16:creationId xmlns:a16="http://schemas.microsoft.com/office/drawing/2014/main" id="{C58ACB50-E924-8F75-A277-2DEBF83A333D}"/>
            </a:ext>
          </a:extLst>
        </xdr:cNvPr>
        <xdr:cNvSpPr>
          <a:spLocks noChangeAspect="1" noChangeArrowheads="1"/>
        </xdr:cNvSpPr>
      </xdr:nvSpPr>
      <xdr:spPr bwMode="auto">
        <a:xfrm>
          <a:off x="1402080" y="77952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069" name="AutoShape 21" descr="Favorite Target">
          <a:extLst>
            <a:ext uri="{FF2B5EF4-FFF2-40B4-BE49-F238E27FC236}">
              <a16:creationId xmlns:a16="http://schemas.microsoft.com/office/drawing/2014/main" id="{6199A5F9-3EAB-7DAE-AA8B-65DFA0F7DEEB}"/>
            </a:ext>
          </a:extLst>
        </xdr:cNvPr>
        <xdr:cNvSpPr>
          <a:spLocks noChangeAspect="1" noChangeArrowheads="1"/>
        </xdr:cNvSpPr>
      </xdr:nvSpPr>
      <xdr:spPr bwMode="auto">
        <a:xfrm>
          <a:off x="2011680" y="77952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3" name="AutoShape 1" descr="Size">
          <a:extLst>
            <a:ext uri="{FF2B5EF4-FFF2-40B4-BE49-F238E27FC236}">
              <a16:creationId xmlns:a16="http://schemas.microsoft.com/office/drawing/2014/main" id="{4E176F5F-451A-4DBB-B920-B21AC324BB0A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" name="AutoShape 18" descr="Range">
          <a:extLst>
            <a:ext uri="{FF2B5EF4-FFF2-40B4-BE49-F238E27FC236}">
              <a16:creationId xmlns:a16="http://schemas.microsoft.com/office/drawing/2014/main" id="{BD339F43-C37F-4E12-9EFB-FF493AE900A1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BF0-AEF2-4861-8D8E-4DCFDFFB41E6}">
  <dimension ref="A3:AM25"/>
  <sheetViews>
    <sheetView tabSelected="1" topLeftCell="A16" workbookViewId="0">
      <selection activeCell="O9" sqref="O9:Q2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1093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6" spans="1:39" ht="28.2" customHeight="1" thickBot="1" x14ac:dyDescent="0.35">
      <c r="L6" s="17"/>
      <c r="M6" s="25"/>
    </row>
    <row r="7" spans="1:39" ht="53.4" thickBot="1" x14ac:dyDescent="0.35">
      <c r="A7" t="s">
        <v>50</v>
      </c>
      <c r="B7" t="s">
        <v>51</v>
      </c>
      <c r="C7" t="s">
        <v>49</v>
      </c>
      <c r="D7" s="19" t="s">
        <v>6</v>
      </c>
      <c r="E7" s="19" t="s">
        <v>7</v>
      </c>
      <c r="F7" s="23" t="s">
        <v>8</v>
      </c>
      <c r="G7" s="23" t="s">
        <v>9</v>
      </c>
      <c r="H7" s="23" t="s">
        <v>10</v>
      </c>
      <c r="I7" s="19" t="s">
        <v>11</v>
      </c>
      <c r="J7" s="20" t="s">
        <v>12</v>
      </c>
      <c r="K7" s="20" t="s">
        <v>13</v>
      </c>
      <c r="L7" s="18" t="s">
        <v>4</v>
      </c>
      <c r="M7" s="26" t="s">
        <v>93</v>
      </c>
      <c r="N7" s="14" t="s">
        <v>94</v>
      </c>
      <c r="O7" s="13" t="s">
        <v>43</v>
      </c>
      <c r="P7" s="13" t="s">
        <v>44</v>
      </c>
      <c r="Q7" s="13" t="s">
        <v>45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39" ht="53.4" thickBot="1" x14ac:dyDescent="0.35">
      <c r="A8">
        <v>3</v>
      </c>
      <c r="B8" t="s">
        <v>85</v>
      </c>
      <c r="C8" t="s">
        <v>84</v>
      </c>
      <c r="D8" s="8">
        <v>1</v>
      </c>
      <c r="E8" s="8">
        <v>4</v>
      </c>
      <c r="F8" s="8">
        <v>20</v>
      </c>
      <c r="G8" s="8">
        <v>400</v>
      </c>
      <c r="H8" s="21">
        <v>5000</v>
      </c>
      <c r="I8" s="9" t="s">
        <v>22</v>
      </c>
      <c r="J8" s="8">
        <v>42</v>
      </c>
      <c r="K8" s="8">
        <v>3</v>
      </c>
      <c r="L8" s="7" t="s">
        <v>5</v>
      </c>
      <c r="M8" s="7">
        <v>4</v>
      </c>
      <c r="N8" s="24">
        <v>11</v>
      </c>
      <c r="O8" s="8" t="s">
        <v>15</v>
      </c>
      <c r="P8" s="8" t="s">
        <v>92</v>
      </c>
      <c r="Q8" s="8" t="s">
        <v>48</v>
      </c>
      <c r="R8">
        <f>INDEX($V$8:$AM$8,MATCH(K8,$V$7:$AM$7,0))</f>
        <v>1</v>
      </c>
      <c r="U8" s="3" t="s">
        <v>1</v>
      </c>
      <c r="V8" s="5">
        <v>0</v>
      </c>
      <c r="W8" s="5">
        <v>0</v>
      </c>
      <c r="X8" s="4">
        <v>1</v>
      </c>
      <c r="Y8" s="5">
        <v>1</v>
      </c>
      <c r="Z8" s="5">
        <v>1</v>
      </c>
      <c r="AA8" s="4">
        <v>2</v>
      </c>
      <c r="AB8" s="4">
        <v>3</v>
      </c>
      <c r="AC8" s="4">
        <v>4</v>
      </c>
      <c r="AD8" s="5">
        <v>4</v>
      </c>
      <c r="AE8" s="5">
        <v>4</v>
      </c>
      <c r="AF8" s="5">
        <v>4</v>
      </c>
      <c r="AG8" s="5">
        <v>4</v>
      </c>
      <c r="AH8" s="5">
        <v>4</v>
      </c>
      <c r="AI8" s="5">
        <v>4</v>
      </c>
      <c r="AJ8" s="5">
        <v>4</v>
      </c>
      <c r="AK8" s="5">
        <v>4</v>
      </c>
      <c r="AL8" s="5">
        <v>4</v>
      </c>
      <c r="AM8" s="5">
        <v>4</v>
      </c>
    </row>
    <row r="9" spans="1:39" ht="27" thickBot="1" x14ac:dyDescent="0.35">
      <c r="A9">
        <v>3</v>
      </c>
      <c r="B9" t="s">
        <v>85</v>
      </c>
      <c r="C9" t="s">
        <v>84</v>
      </c>
      <c r="D9" s="8">
        <v>2</v>
      </c>
      <c r="E9" s="8">
        <v>5</v>
      </c>
      <c r="F9" s="8">
        <v>25</v>
      </c>
      <c r="G9" s="8">
        <v>450</v>
      </c>
      <c r="H9" s="21">
        <v>25000</v>
      </c>
      <c r="I9" s="9" t="s">
        <v>23</v>
      </c>
      <c r="J9" s="8">
        <v>60</v>
      </c>
      <c r="K9" s="8">
        <v>4</v>
      </c>
      <c r="L9" s="7" t="s">
        <v>5</v>
      </c>
      <c r="M9" s="7">
        <v>4</v>
      </c>
      <c r="N9" s="24">
        <v>11</v>
      </c>
      <c r="O9" s="8" t="s">
        <v>15</v>
      </c>
      <c r="P9" s="8" t="s">
        <v>92</v>
      </c>
      <c r="Q9" s="8" t="s">
        <v>48</v>
      </c>
      <c r="R9">
        <f>INDEX($V$8:$AM$8,MATCH(K9,$V$7:$AM$7,0))</f>
        <v>1</v>
      </c>
      <c r="V9" s="3"/>
    </row>
    <row r="10" spans="1:39" ht="27" thickBot="1" x14ac:dyDescent="0.35">
      <c r="A10">
        <v>3</v>
      </c>
      <c r="B10" t="s">
        <v>85</v>
      </c>
      <c r="C10" t="s">
        <v>84</v>
      </c>
      <c r="D10" s="8">
        <v>3</v>
      </c>
      <c r="E10" s="8">
        <v>6</v>
      </c>
      <c r="F10" s="8">
        <v>30</v>
      </c>
      <c r="G10" s="8">
        <v>500</v>
      </c>
      <c r="H10" s="21">
        <v>90000</v>
      </c>
      <c r="I10" s="9" t="s">
        <v>24</v>
      </c>
      <c r="J10" s="8">
        <v>84</v>
      </c>
      <c r="K10" s="10">
        <v>5</v>
      </c>
      <c r="L10" s="7" t="s">
        <v>5</v>
      </c>
      <c r="M10" s="7">
        <v>4</v>
      </c>
      <c r="N10" s="24">
        <v>11</v>
      </c>
      <c r="O10" s="8" t="s">
        <v>15</v>
      </c>
      <c r="P10" s="8" t="s">
        <v>92</v>
      </c>
      <c r="Q10" s="8" t="s">
        <v>48</v>
      </c>
      <c r="R10">
        <f>INDEX($V$8:$AM$8,MATCH(K10,$V$7:$AM$7,0))</f>
        <v>1</v>
      </c>
    </row>
    <row r="11" spans="1:39" ht="27" thickBot="1" x14ac:dyDescent="0.35">
      <c r="A11">
        <v>3</v>
      </c>
      <c r="B11" t="s">
        <v>85</v>
      </c>
      <c r="C11" t="s">
        <v>84</v>
      </c>
      <c r="D11" s="8">
        <v>4</v>
      </c>
      <c r="E11" s="8">
        <v>7</v>
      </c>
      <c r="F11" s="8">
        <v>35</v>
      </c>
      <c r="G11" s="8">
        <v>550</v>
      </c>
      <c r="H11" s="21">
        <v>180000</v>
      </c>
      <c r="I11" s="9" t="s">
        <v>26</v>
      </c>
      <c r="J11" s="8">
        <v>103</v>
      </c>
      <c r="K11" s="8">
        <v>6</v>
      </c>
      <c r="L11" s="7" t="s">
        <v>5</v>
      </c>
      <c r="M11" s="7">
        <v>4</v>
      </c>
      <c r="N11" s="24">
        <v>11</v>
      </c>
      <c r="O11" s="8" t="s">
        <v>15</v>
      </c>
      <c r="P11" s="8" t="s">
        <v>92</v>
      </c>
      <c r="Q11" s="8" t="s">
        <v>48</v>
      </c>
      <c r="R11">
        <f>INDEX($V$8:$AM$8,MATCH(K11,$V$7:$AM$7,0))</f>
        <v>2</v>
      </c>
    </row>
    <row r="12" spans="1:39" ht="27" thickBot="1" x14ac:dyDescent="0.35">
      <c r="A12">
        <v>3</v>
      </c>
      <c r="B12" t="s">
        <v>85</v>
      </c>
      <c r="C12" t="s">
        <v>84</v>
      </c>
      <c r="D12" s="8">
        <v>5</v>
      </c>
      <c r="E12" s="8">
        <v>9</v>
      </c>
      <c r="F12" s="8">
        <v>45</v>
      </c>
      <c r="G12" s="8">
        <v>600</v>
      </c>
      <c r="H12" s="21">
        <v>300000</v>
      </c>
      <c r="I12" s="9" t="s">
        <v>34</v>
      </c>
      <c r="J12" s="8">
        <v>146</v>
      </c>
      <c r="K12" s="8">
        <v>7</v>
      </c>
      <c r="L12" s="7" t="s">
        <v>5</v>
      </c>
      <c r="M12" s="7">
        <v>4</v>
      </c>
      <c r="N12" s="24">
        <v>11</v>
      </c>
      <c r="O12" s="8" t="s">
        <v>15</v>
      </c>
      <c r="P12" s="8" t="s">
        <v>92</v>
      </c>
      <c r="Q12" s="8" t="s">
        <v>48</v>
      </c>
      <c r="R12">
        <f>INDEX($V$8:$AM$8,MATCH(K12,$V$7:$AM$7,0))</f>
        <v>3</v>
      </c>
    </row>
    <row r="13" spans="1:39" ht="27" thickBot="1" x14ac:dyDescent="0.35">
      <c r="A13">
        <v>3</v>
      </c>
      <c r="B13" t="s">
        <v>85</v>
      </c>
      <c r="C13" t="s">
        <v>84</v>
      </c>
      <c r="D13" s="8">
        <v>6</v>
      </c>
      <c r="E13" s="8">
        <v>11</v>
      </c>
      <c r="F13" s="8">
        <v>55</v>
      </c>
      <c r="G13" s="8">
        <v>650</v>
      </c>
      <c r="H13" s="21">
        <v>500000</v>
      </c>
      <c r="I13" s="9" t="s">
        <v>35</v>
      </c>
      <c r="J13" s="8">
        <v>169</v>
      </c>
      <c r="K13" s="8">
        <v>8</v>
      </c>
      <c r="L13" s="7" t="s">
        <v>5</v>
      </c>
      <c r="M13" s="7">
        <v>4</v>
      </c>
      <c r="N13" s="24">
        <v>11</v>
      </c>
      <c r="O13" s="8" t="s">
        <v>15</v>
      </c>
      <c r="P13" s="8" t="s">
        <v>92</v>
      </c>
      <c r="Q13" s="8" t="s">
        <v>48</v>
      </c>
      <c r="R13">
        <f>INDEX($V$8:$AM$8,MATCH(K13,$V$7:$AM$7,0))</f>
        <v>4</v>
      </c>
    </row>
    <row r="14" spans="1:39" ht="27" thickBot="1" x14ac:dyDescent="0.35">
      <c r="A14">
        <v>3</v>
      </c>
      <c r="B14" t="s">
        <v>85</v>
      </c>
      <c r="C14" t="s">
        <v>84</v>
      </c>
      <c r="D14" s="8">
        <v>7</v>
      </c>
      <c r="E14" s="8">
        <v>15</v>
      </c>
      <c r="F14" s="8">
        <v>75</v>
      </c>
      <c r="G14" s="8">
        <v>700</v>
      </c>
      <c r="H14" s="21">
        <v>900000</v>
      </c>
      <c r="I14" s="9" t="s">
        <v>38</v>
      </c>
      <c r="J14" s="8">
        <v>207</v>
      </c>
      <c r="K14" s="10">
        <v>9</v>
      </c>
      <c r="L14" s="7" t="s">
        <v>5</v>
      </c>
      <c r="M14" s="7">
        <v>4</v>
      </c>
      <c r="N14" s="24">
        <v>11</v>
      </c>
      <c r="O14" s="8" t="s">
        <v>15</v>
      </c>
      <c r="P14" s="8" t="s">
        <v>92</v>
      </c>
      <c r="Q14" s="8" t="s">
        <v>48</v>
      </c>
      <c r="R14">
        <f>INDEX($V$8:$AM$8,MATCH(K14,$V$7:$AM$7,0))</f>
        <v>4</v>
      </c>
    </row>
    <row r="15" spans="1:39" ht="27" thickBot="1" x14ac:dyDescent="0.35">
      <c r="A15">
        <v>3</v>
      </c>
      <c r="B15" t="s">
        <v>85</v>
      </c>
      <c r="C15" t="s">
        <v>84</v>
      </c>
      <c r="D15" s="8">
        <v>8</v>
      </c>
      <c r="E15" s="8">
        <v>20</v>
      </c>
      <c r="F15" s="8">
        <v>100</v>
      </c>
      <c r="G15" s="8">
        <v>800</v>
      </c>
      <c r="H15" s="21">
        <v>1200000</v>
      </c>
      <c r="I15" s="9" t="s">
        <v>86</v>
      </c>
      <c r="J15" s="8">
        <v>254</v>
      </c>
      <c r="K15" s="8">
        <v>10</v>
      </c>
      <c r="L15" s="7" t="s">
        <v>5</v>
      </c>
      <c r="M15" s="7">
        <v>4</v>
      </c>
      <c r="N15" s="24">
        <v>11</v>
      </c>
      <c r="O15" s="8" t="s">
        <v>15</v>
      </c>
      <c r="P15" s="8" t="s">
        <v>92</v>
      </c>
      <c r="Q15" s="8" t="s">
        <v>48</v>
      </c>
      <c r="R15">
        <f>INDEX($V$8:$AM$8,MATCH(K15,$V$7:$AM$7,0))</f>
        <v>4</v>
      </c>
    </row>
    <row r="16" spans="1:39" ht="27" thickBot="1" x14ac:dyDescent="0.35">
      <c r="A16">
        <v>3</v>
      </c>
      <c r="B16" t="s">
        <v>85</v>
      </c>
      <c r="C16" t="s">
        <v>84</v>
      </c>
      <c r="D16" s="8">
        <v>9</v>
      </c>
      <c r="E16" s="8">
        <v>25</v>
      </c>
      <c r="F16" s="8">
        <v>125</v>
      </c>
      <c r="G16" s="8">
        <v>950</v>
      </c>
      <c r="H16" s="21">
        <v>1600000</v>
      </c>
      <c r="I16" s="9" t="s">
        <v>40</v>
      </c>
      <c r="J16" s="8">
        <v>268</v>
      </c>
      <c r="K16" s="8">
        <v>11</v>
      </c>
      <c r="L16" s="7" t="s">
        <v>5</v>
      </c>
      <c r="M16" s="7">
        <v>4</v>
      </c>
      <c r="N16" s="24">
        <v>11</v>
      </c>
      <c r="O16" s="8" t="s">
        <v>15</v>
      </c>
      <c r="P16" s="8" t="s">
        <v>92</v>
      </c>
      <c r="Q16" s="8" t="s">
        <v>48</v>
      </c>
      <c r="R16">
        <f>INDEX($V$8:$AM$8,MATCH(K16,$V$7:$AM$7,0))</f>
        <v>4</v>
      </c>
    </row>
    <row r="17" spans="1:18" ht="27" thickBot="1" x14ac:dyDescent="0.35">
      <c r="A17">
        <v>3</v>
      </c>
      <c r="B17" t="s">
        <v>85</v>
      </c>
      <c r="C17" t="s">
        <v>84</v>
      </c>
      <c r="D17" s="8">
        <v>10</v>
      </c>
      <c r="E17" s="8">
        <v>30</v>
      </c>
      <c r="F17" s="8">
        <v>150</v>
      </c>
      <c r="G17" s="21">
        <v>1100</v>
      </c>
      <c r="H17" s="21">
        <v>1800000</v>
      </c>
      <c r="I17" s="9" t="s">
        <v>41</v>
      </c>
      <c r="J17" s="8">
        <v>293</v>
      </c>
      <c r="K17" s="8">
        <v>11</v>
      </c>
      <c r="L17" s="7" t="s">
        <v>5</v>
      </c>
      <c r="M17" s="7">
        <v>4</v>
      </c>
      <c r="N17" s="24">
        <v>11</v>
      </c>
      <c r="O17" s="8" t="s">
        <v>15</v>
      </c>
      <c r="P17" s="8" t="s">
        <v>92</v>
      </c>
      <c r="Q17" s="8" t="s">
        <v>48</v>
      </c>
      <c r="R17">
        <f>INDEX($V$8:$AM$8,MATCH(K17,$V$7:$AM$7,0))</f>
        <v>4</v>
      </c>
    </row>
    <row r="18" spans="1:18" ht="27" thickBot="1" x14ac:dyDescent="0.35">
      <c r="A18">
        <v>3</v>
      </c>
      <c r="B18" t="s">
        <v>85</v>
      </c>
      <c r="C18" t="s">
        <v>84</v>
      </c>
      <c r="D18" s="8">
        <v>11</v>
      </c>
      <c r="E18" s="8">
        <v>35</v>
      </c>
      <c r="F18" s="8">
        <v>175</v>
      </c>
      <c r="G18" s="21">
        <v>1300</v>
      </c>
      <c r="H18" s="21">
        <v>2300000</v>
      </c>
      <c r="I18" s="9" t="s">
        <v>76</v>
      </c>
      <c r="J18" s="8">
        <v>328</v>
      </c>
      <c r="K18" s="10">
        <v>12</v>
      </c>
      <c r="L18" s="7" t="s">
        <v>5</v>
      </c>
      <c r="M18" s="7">
        <v>4</v>
      </c>
      <c r="N18" s="24">
        <v>11</v>
      </c>
      <c r="O18" s="8" t="s">
        <v>15</v>
      </c>
      <c r="P18" s="8" t="s">
        <v>92</v>
      </c>
      <c r="Q18" s="8" t="s">
        <v>48</v>
      </c>
      <c r="R18">
        <f>INDEX($V$8:$AM$8,MATCH(K18,$V$7:$AM$7,0))</f>
        <v>4</v>
      </c>
    </row>
    <row r="19" spans="1:18" ht="27" thickBot="1" x14ac:dyDescent="0.35">
      <c r="A19">
        <v>3</v>
      </c>
      <c r="B19" t="s">
        <v>85</v>
      </c>
      <c r="C19" t="s">
        <v>84</v>
      </c>
      <c r="D19" s="8">
        <v>12</v>
      </c>
      <c r="E19" s="8">
        <v>38</v>
      </c>
      <c r="F19" s="8">
        <v>190</v>
      </c>
      <c r="G19" s="21">
        <v>1500</v>
      </c>
      <c r="H19" s="21">
        <v>2400000</v>
      </c>
      <c r="I19" s="9" t="s">
        <v>42</v>
      </c>
      <c r="J19" s="8">
        <v>360</v>
      </c>
      <c r="K19" s="8">
        <v>12</v>
      </c>
      <c r="L19" s="7" t="s">
        <v>5</v>
      </c>
      <c r="M19" s="7">
        <v>4</v>
      </c>
      <c r="N19" s="24">
        <v>11</v>
      </c>
      <c r="O19" s="8" t="s">
        <v>15</v>
      </c>
      <c r="P19" s="8" t="s">
        <v>92</v>
      </c>
      <c r="Q19" s="8" t="s">
        <v>48</v>
      </c>
      <c r="R19">
        <f>INDEX($V$8:$AM$8,MATCH(K19,$V$7:$AM$7,0))</f>
        <v>4</v>
      </c>
    </row>
    <row r="20" spans="1:18" ht="27" thickBot="1" x14ac:dyDescent="0.35">
      <c r="A20">
        <v>3</v>
      </c>
      <c r="B20" t="s">
        <v>85</v>
      </c>
      <c r="C20" t="s">
        <v>84</v>
      </c>
      <c r="D20" s="8">
        <v>13</v>
      </c>
      <c r="E20" s="8">
        <v>42</v>
      </c>
      <c r="F20" s="8">
        <v>210</v>
      </c>
      <c r="G20" s="21">
        <v>1700</v>
      </c>
      <c r="H20" s="21">
        <v>2800000</v>
      </c>
      <c r="I20" s="9" t="s">
        <v>79</v>
      </c>
      <c r="J20" s="8">
        <v>415</v>
      </c>
      <c r="K20" s="8">
        <v>13</v>
      </c>
      <c r="L20" s="7" t="s">
        <v>5</v>
      </c>
      <c r="M20" s="7">
        <v>4</v>
      </c>
      <c r="N20" s="24">
        <v>11</v>
      </c>
      <c r="O20" s="8" t="s">
        <v>15</v>
      </c>
      <c r="P20" s="8" t="s">
        <v>92</v>
      </c>
      <c r="Q20" s="8" t="s">
        <v>48</v>
      </c>
      <c r="R20">
        <f>INDEX($V$8:$AM$8,MATCH(K20,$V$7:$AM$7,0))</f>
        <v>4</v>
      </c>
    </row>
    <row r="21" spans="1:18" ht="27" thickBot="1" x14ac:dyDescent="0.35">
      <c r="A21">
        <v>3</v>
      </c>
      <c r="B21" t="s">
        <v>85</v>
      </c>
      <c r="C21" t="s">
        <v>84</v>
      </c>
      <c r="D21" s="8">
        <v>14</v>
      </c>
      <c r="E21" s="8">
        <v>48</v>
      </c>
      <c r="F21" s="8">
        <v>240</v>
      </c>
      <c r="G21" s="21">
        <v>1950</v>
      </c>
      <c r="H21" s="21">
        <v>4300000</v>
      </c>
      <c r="I21" s="9" t="s">
        <v>87</v>
      </c>
      <c r="J21" s="8">
        <v>464</v>
      </c>
      <c r="K21" s="10">
        <v>14</v>
      </c>
      <c r="L21" s="7" t="s">
        <v>5</v>
      </c>
      <c r="M21" s="7">
        <v>4</v>
      </c>
      <c r="N21" s="24">
        <v>11</v>
      </c>
      <c r="O21" s="8" t="s">
        <v>15</v>
      </c>
      <c r="P21" s="8" t="s">
        <v>92</v>
      </c>
      <c r="Q21" s="8" t="s">
        <v>48</v>
      </c>
      <c r="R21">
        <f>INDEX($V$8:$AM$8,MATCH(K21,$V$7:$AM$7,0))</f>
        <v>4</v>
      </c>
    </row>
    <row r="22" spans="1:18" ht="27" thickBot="1" x14ac:dyDescent="0.35">
      <c r="A22">
        <v>3</v>
      </c>
      <c r="B22" t="s">
        <v>85</v>
      </c>
      <c r="C22" t="s">
        <v>84</v>
      </c>
      <c r="D22" s="8">
        <v>15</v>
      </c>
      <c r="E22" s="8">
        <v>54</v>
      </c>
      <c r="F22" s="8">
        <v>270</v>
      </c>
      <c r="G22" s="21">
        <v>2150</v>
      </c>
      <c r="H22" s="21">
        <v>5000000</v>
      </c>
      <c r="I22" s="9" t="s">
        <v>88</v>
      </c>
      <c r="J22" s="8">
        <v>509</v>
      </c>
      <c r="K22" s="8">
        <v>15</v>
      </c>
      <c r="L22" s="7" t="s">
        <v>5</v>
      </c>
      <c r="M22" s="7">
        <v>4</v>
      </c>
      <c r="N22" s="24">
        <v>11</v>
      </c>
      <c r="O22" s="8" t="s">
        <v>15</v>
      </c>
      <c r="P22" s="8" t="s">
        <v>92</v>
      </c>
      <c r="Q22" s="8" t="s">
        <v>48</v>
      </c>
      <c r="R22">
        <f>INDEX($V$8:$AM$8,MATCH(K22,$V$7:$AM$7,0))</f>
        <v>4</v>
      </c>
    </row>
    <row r="23" spans="1:18" ht="27" thickBot="1" x14ac:dyDescent="0.35">
      <c r="A23">
        <v>3</v>
      </c>
      <c r="B23" t="s">
        <v>85</v>
      </c>
      <c r="C23" t="s">
        <v>84</v>
      </c>
      <c r="D23" s="8">
        <v>16</v>
      </c>
      <c r="E23" s="8">
        <v>60</v>
      </c>
      <c r="F23" s="8">
        <v>300</v>
      </c>
      <c r="G23" s="21">
        <v>2300</v>
      </c>
      <c r="H23" s="21">
        <v>7000000</v>
      </c>
      <c r="I23" s="9" t="s">
        <v>89</v>
      </c>
      <c r="J23" s="8">
        <v>587</v>
      </c>
      <c r="K23" s="10">
        <v>16</v>
      </c>
      <c r="L23" s="7" t="s">
        <v>5</v>
      </c>
      <c r="M23" s="7">
        <v>4</v>
      </c>
      <c r="N23" s="24">
        <v>11</v>
      </c>
      <c r="O23" s="8" t="s">
        <v>15</v>
      </c>
      <c r="P23" s="8" t="s">
        <v>92</v>
      </c>
      <c r="Q23" s="8" t="s">
        <v>48</v>
      </c>
      <c r="R23">
        <f>INDEX($V$8:$AM$8,MATCH(K23,$V$7:$AM$7,0))</f>
        <v>4</v>
      </c>
    </row>
    <row r="24" spans="1:18" ht="27" thickBot="1" x14ac:dyDescent="0.35">
      <c r="A24">
        <v>3</v>
      </c>
      <c r="B24" t="s">
        <v>85</v>
      </c>
      <c r="C24" t="s">
        <v>84</v>
      </c>
      <c r="D24" s="8">
        <v>17</v>
      </c>
      <c r="E24" s="8">
        <v>66</v>
      </c>
      <c r="F24" s="8">
        <v>330</v>
      </c>
      <c r="G24" s="21">
        <v>2450</v>
      </c>
      <c r="H24" s="21">
        <v>13000000</v>
      </c>
      <c r="I24" s="9" t="s">
        <v>90</v>
      </c>
      <c r="J24" s="8">
        <v>657</v>
      </c>
      <c r="K24" s="8">
        <v>17</v>
      </c>
      <c r="L24" s="7" t="s">
        <v>5</v>
      </c>
      <c r="M24" s="7">
        <v>4</v>
      </c>
      <c r="N24" s="24">
        <v>11</v>
      </c>
      <c r="O24" s="8" t="s">
        <v>15</v>
      </c>
      <c r="P24" s="8" t="s">
        <v>92</v>
      </c>
      <c r="Q24" s="8" t="s">
        <v>48</v>
      </c>
      <c r="R24">
        <f>INDEX($V$8:$AM$8,MATCH(K24,$V$7:$AM$7,0))</f>
        <v>4</v>
      </c>
    </row>
    <row r="25" spans="1:18" ht="27" thickBot="1" x14ac:dyDescent="0.35">
      <c r="A25">
        <v>3</v>
      </c>
      <c r="B25" t="s">
        <v>85</v>
      </c>
      <c r="C25" t="s">
        <v>84</v>
      </c>
      <c r="D25" s="8">
        <v>18</v>
      </c>
      <c r="E25" s="8">
        <v>72</v>
      </c>
      <c r="F25" s="8">
        <v>360</v>
      </c>
      <c r="G25" s="21">
        <v>2550</v>
      </c>
      <c r="H25" s="21">
        <v>21000000</v>
      </c>
      <c r="I25" s="9" t="s">
        <v>91</v>
      </c>
      <c r="J25" s="21">
        <v>1039</v>
      </c>
      <c r="K25" s="10">
        <v>18</v>
      </c>
      <c r="L25" s="7" t="s">
        <v>5</v>
      </c>
      <c r="M25" s="7">
        <v>4</v>
      </c>
      <c r="N25" s="24">
        <v>11</v>
      </c>
      <c r="O25" s="8" t="s">
        <v>15</v>
      </c>
      <c r="P25" s="8" t="s">
        <v>92</v>
      </c>
      <c r="Q25" s="8" t="s">
        <v>48</v>
      </c>
      <c r="R25">
        <f>INDEX($V$8:$AM$8,MATCH(K25,$V$7:$AM$7,0))</f>
        <v>4</v>
      </c>
    </row>
  </sheetData>
  <hyperlinks>
    <hyperlink ref="J7" r:id="rId1" tooltip="Experience" display="https://clashofclans.fandom.com/wiki/Experience" xr:uid="{0ECC5685-CA06-4A75-A7E4-ACAEE015562C}"/>
    <hyperlink ref="K7" r:id="rId2" tooltip="Town Hall" display="https://clashofclans.fandom.com/wiki/Town_Hall" xr:uid="{F1DE46AD-9819-4431-9439-5B9515EB4496}"/>
    <hyperlink ref="U7" r:id="rId3" tooltip="Town Hall" display="https://clashofclans.fandom.com/wiki/Town_Hall" xr:uid="{299E3710-9548-4BE2-8619-532487D5F86C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1346-2BF0-4921-9BE2-468AE4CA80E7}">
  <dimension ref="A3:AL28"/>
  <sheetViews>
    <sheetView topLeftCell="A16" workbookViewId="0">
      <selection activeCell="N8" sqref="N8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17"/>
      <c r="M6" s="25"/>
    </row>
    <row r="7" spans="1:38" ht="53.4" thickBot="1" x14ac:dyDescent="0.35">
      <c r="A7" t="s">
        <v>50</v>
      </c>
      <c r="B7" t="s">
        <v>51</v>
      </c>
      <c r="C7" t="s">
        <v>49</v>
      </c>
      <c r="D7" s="19" t="s">
        <v>6</v>
      </c>
      <c r="E7" s="19" t="s">
        <v>7</v>
      </c>
      <c r="F7" s="23" t="s">
        <v>8</v>
      </c>
      <c r="G7" s="23" t="s">
        <v>9</v>
      </c>
      <c r="H7" s="23" t="s">
        <v>10</v>
      </c>
      <c r="I7" s="19" t="s">
        <v>11</v>
      </c>
      <c r="J7" s="20" t="s">
        <v>12</v>
      </c>
      <c r="K7" s="20" t="s">
        <v>13</v>
      </c>
      <c r="L7" s="18" t="s">
        <v>4</v>
      </c>
      <c r="M7" s="26" t="s">
        <v>93</v>
      </c>
      <c r="N7" s="14" t="s">
        <v>94</v>
      </c>
      <c r="O7" s="13" t="s">
        <v>43</v>
      </c>
      <c r="P7" s="13" t="s">
        <v>44</v>
      </c>
      <c r="Q7" s="13" t="s">
        <v>45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2</v>
      </c>
      <c r="B8" t="s">
        <v>83</v>
      </c>
      <c r="C8" t="s">
        <v>82</v>
      </c>
      <c r="D8" s="8">
        <v>1</v>
      </c>
      <c r="E8" s="8">
        <v>11</v>
      </c>
      <c r="F8" s="8" t="s">
        <v>66</v>
      </c>
      <c r="G8" s="8">
        <v>380</v>
      </c>
      <c r="H8" s="21">
        <v>1000</v>
      </c>
      <c r="I8" s="9" t="s">
        <v>67</v>
      </c>
      <c r="J8" s="8">
        <v>3</v>
      </c>
      <c r="K8" s="8">
        <v>2</v>
      </c>
      <c r="L8" s="7" t="s">
        <v>5</v>
      </c>
      <c r="M8" s="8">
        <v>10</v>
      </c>
      <c r="N8" s="8">
        <v>10</v>
      </c>
      <c r="O8" s="8" t="s">
        <v>80</v>
      </c>
      <c r="P8" s="8" t="s">
        <v>47</v>
      </c>
      <c r="Q8" s="8" t="s">
        <v>81</v>
      </c>
      <c r="R8">
        <f>INDEX($U$8:$AL$8,MATCH(K8,$U$7:$AL$7,0))</f>
        <v>1</v>
      </c>
      <c r="T8" s="3" t="s">
        <v>1</v>
      </c>
      <c r="U8" s="5">
        <v>0</v>
      </c>
      <c r="V8" s="4">
        <v>1</v>
      </c>
      <c r="W8" s="5">
        <v>1</v>
      </c>
      <c r="X8" s="4">
        <v>2</v>
      </c>
      <c r="Y8" s="4">
        <v>3</v>
      </c>
      <c r="Z8" s="5">
        <v>3</v>
      </c>
      <c r="AA8" s="4">
        <v>4</v>
      </c>
      <c r="AB8" s="4">
        <v>5</v>
      </c>
      <c r="AC8" s="4">
        <v>6</v>
      </c>
      <c r="AD8" s="4">
        <v>7</v>
      </c>
      <c r="AE8" s="4">
        <v>8</v>
      </c>
      <c r="AF8" s="5">
        <v>8</v>
      </c>
      <c r="AG8" s="5">
        <v>8</v>
      </c>
      <c r="AH8" s="5">
        <v>8</v>
      </c>
      <c r="AI8" s="5">
        <v>8</v>
      </c>
      <c r="AJ8" s="4" t="s">
        <v>64</v>
      </c>
      <c r="AK8" s="4" t="s">
        <v>65</v>
      </c>
      <c r="AL8" s="5" t="s">
        <v>65</v>
      </c>
    </row>
    <row r="9" spans="1:38" ht="27" thickBot="1" x14ac:dyDescent="0.35">
      <c r="A9">
        <v>2</v>
      </c>
      <c r="B9" t="s">
        <v>83</v>
      </c>
      <c r="C9" t="s">
        <v>82</v>
      </c>
      <c r="D9" s="8">
        <v>2</v>
      </c>
      <c r="E9" s="8">
        <v>15</v>
      </c>
      <c r="F9" s="8" t="s">
        <v>68</v>
      </c>
      <c r="G9" s="8">
        <v>420</v>
      </c>
      <c r="H9" s="21">
        <v>2000</v>
      </c>
      <c r="I9" s="9" t="s">
        <v>18</v>
      </c>
      <c r="J9" s="8">
        <v>10</v>
      </c>
      <c r="K9" s="8">
        <v>2</v>
      </c>
      <c r="L9" s="7" t="s">
        <v>5</v>
      </c>
      <c r="M9" s="8">
        <v>10</v>
      </c>
      <c r="N9" s="8">
        <v>10</v>
      </c>
      <c r="O9" s="8" t="s">
        <v>80</v>
      </c>
      <c r="P9" s="8" t="s">
        <v>47</v>
      </c>
      <c r="Q9" s="8" t="s">
        <v>81</v>
      </c>
      <c r="R9">
        <f>INDEX($U$8:$AL$8,MATCH(K9,$U$7:$AL$7,0))</f>
        <v>1</v>
      </c>
    </row>
    <row r="10" spans="1:38" ht="27" thickBot="1" x14ac:dyDescent="0.35">
      <c r="A10">
        <v>2</v>
      </c>
      <c r="B10" t="s">
        <v>83</v>
      </c>
      <c r="C10" t="s">
        <v>82</v>
      </c>
      <c r="D10" s="8">
        <v>3</v>
      </c>
      <c r="E10" s="8">
        <v>19</v>
      </c>
      <c r="F10" s="8" t="s">
        <v>69</v>
      </c>
      <c r="G10" s="8">
        <v>460</v>
      </c>
      <c r="H10" s="21">
        <v>5000</v>
      </c>
      <c r="I10" s="9" t="s">
        <v>20</v>
      </c>
      <c r="J10" s="8">
        <v>34</v>
      </c>
      <c r="K10" s="10">
        <v>3</v>
      </c>
      <c r="L10" s="7" t="s">
        <v>5</v>
      </c>
      <c r="M10" s="8">
        <v>10</v>
      </c>
      <c r="N10" s="8">
        <v>10</v>
      </c>
      <c r="O10" s="8" t="s">
        <v>80</v>
      </c>
      <c r="P10" s="8" t="s">
        <v>47</v>
      </c>
      <c r="Q10" s="8" t="s">
        <v>81</v>
      </c>
      <c r="R10">
        <f>INDEX($U$8:$AL$8,MATCH(K10,$U$7:$AL$7,0))</f>
        <v>1</v>
      </c>
    </row>
    <row r="11" spans="1:38" ht="27" thickBot="1" x14ac:dyDescent="0.35">
      <c r="A11">
        <v>2</v>
      </c>
      <c r="B11" t="s">
        <v>83</v>
      </c>
      <c r="C11" t="s">
        <v>82</v>
      </c>
      <c r="D11" s="8">
        <v>4</v>
      </c>
      <c r="E11" s="8">
        <v>25</v>
      </c>
      <c r="F11" s="8" t="s">
        <v>70</v>
      </c>
      <c r="G11" s="8">
        <v>500</v>
      </c>
      <c r="H11" s="21">
        <v>20000</v>
      </c>
      <c r="I11" s="9" t="s">
        <v>23</v>
      </c>
      <c r="J11" s="8">
        <v>60</v>
      </c>
      <c r="K11" s="8">
        <v>4</v>
      </c>
      <c r="L11" s="7" t="s">
        <v>5</v>
      </c>
      <c r="M11" s="8">
        <v>10</v>
      </c>
      <c r="N11" s="8">
        <v>10</v>
      </c>
      <c r="O11" s="8" t="s">
        <v>80</v>
      </c>
      <c r="P11" s="8" t="s">
        <v>47</v>
      </c>
      <c r="Q11" s="8" t="s">
        <v>81</v>
      </c>
      <c r="R11">
        <f>INDEX($U$8:$AL$8,MATCH(K11,$U$7:$AL$7,0))</f>
        <v>2</v>
      </c>
    </row>
    <row r="12" spans="1:38" ht="27" thickBot="1" x14ac:dyDescent="0.35">
      <c r="A12">
        <v>2</v>
      </c>
      <c r="B12" t="s">
        <v>83</v>
      </c>
      <c r="C12" t="s">
        <v>82</v>
      </c>
      <c r="D12" s="8">
        <v>5</v>
      </c>
      <c r="E12" s="8">
        <v>30</v>
      </c>
      <c r="F12" s="8">
        <v>15</v>
      </c>
      <c r="G12" s="8">
        <v>540</v>
      </c>
      <c r="H12" s="21">
        <v>70000</v>
      </c>
      <c r="I12" s="9" t="s">
        <v>71</v>
      </c>
      <c r="J12" s="8">
        <v>73</v>
      </c>
      <c r="K12" s="8">
        <v>5</v>
      </c>
      <c r="L12" s="7" t="s">
        <v>5</v>
      </c>
      <c r="M12" s="8">
        <v>10</v>
      </c>
      <c r="N12" s="8">
        <v>10</v>
      </c>
      <c r="O12" s="8" t="s">
        <v>80</v>
      </c>
      <c r="P12" s="8" t="s">
        <v>47</v>
      </c>
      <c r="Q12" s="8" t="s">
        <v>81</v>
      </c>
      <c r="R12">
        <f>INDEX($U$8:$AL$8,MATCH(K12,$U$7:$AL$7,0))</f>
        <v>3</v>
      </c>
    </row>
    <row r="13" spans="1:38" ht="27" thickBot="1" x14ac:dyDescent="0.35">
      <c r="A13">
        <v>2</v>
      </c>
      <c r="B13" t="s">
        <v>83</v>
      </c>
      <c r="C13" t="s">
        <v>82</v>
      </c>
      <c r="D13" s="8">
        <v>6</v>
      </c>
      <c r="E13" s="8">
        <v>35</v>
      </c>
      <c r="F13" s="8" t="s">
        <v>72</v>
      </c>
      <c r="G13" s="8">
        <v>580</v>
      </c>
      <c r="H13" s="21">
        <v>80000</v>
      </c>
      <c r="I13" s="9" t="s">
        <v>24</v>
      </c>
      <c r="J13" s="8">
        <v>84</v>
      </c>
      <c r="K13" s="8">
        <v>5</v>
      </c>
      <c r="L13" s="7" t="s">
        <v>5</v>
      </c>
      <c r="M13" s="8">
        <v>10</v>
      </c>
      <c r="N13" s="8">
        <v>10</v>
      </c>
      <c r="O13" s="8" t="s">
        <v>80</v>
      </c>
      <c r="P13" s="8" t="s">
        <v>47</v>
      </c>
      <c r="Q13" s="8" t="s">
        <v>81</v>
      </c>
      <c r="R13">
        <f>INDEX($U$8:$AL$8,MATCH(K13,$U$7:$AL$7,0))</f>
        <v>3</v>
      </c>
    </row>
    <row r="14" spans="1:38" ht="27" thickBot="1" x14ac:dyDescent="0.35">
      <c r="A14">
        <v>2</v>
      </c>
      <c r="B14" t="s">
        <v>83</v>
      </c>
      <c r="C14" t="s">
        <v>82</v>
      </c>
      <c r="D14" s="8">
        <v>7</v>
      </c>
      <c r="E14" s="8">
        <v>42</v>
      </c>
      <c r="F14" s="8">
        <v>21</v>
      </c>
      <c r="G14" s="8">
        <v>630</v>
      </c>
      <c r="H14" s="21">
        <v>150000</v>
      </c>
      <c r="I14" s="9" t="s">
        <v>26</v>
      </c>
      <c r="J14" s="8">
        <v>103</v>
      </c>
      <c r="K14" s="10">
        <v>6</v>
      </c>
      <c r="L14" s="7" t="s">
        <v>5</v>
      </c>
      <c r="M14" s="8">
        <v>10</v>
      </c>
      <c r="N14" s="8">
        <v>10</v>
      </c>
      <c r="O14" s="8" t="s">
        <v>80</v>
      </c>
      <c r="P14" s="8" t="s">
        <v>47</v>
      </c>
      <c r="Q14" s="8" t="s">
        <v>81</v>
      </c>
      <c r="R14">
        <f>INDEX($U$8:$AL$8,MATCH(K14,$U$7:$AL$7,0))</f>
        <v>3</v>
      </c>
    </row>
    <row r="15" spans="1:38" ht="27" thickBot="1" x14ac:dyDescent="0.35">
      <c r="A15">
        <v>2</v>
      </c>
      <c r="B15" t="s">
        <v>83</v>
      </c>
      <c r="C15" t="s">
        <v>82</v>
      </c>
      <c r="D15" s="8">
        <v>8</v>
      </c>
      <c r="E15" s="8">
        <v>48</v>
      </c>
      <c r="F15" s="8">
        <v>24</v>
      </c>
      <c r="G15" s="8">
        <v>690</v>
      </c>
      <c r="H15" s="21">
        <v>200000</v>
      </c>
      <c r="I15" s="9" t="s">
        <v>30</v>
      </c>
      <c r="J15" s="8">
        <v>120</v>
      </c>
      <c r="K15" s="8">
        <v>7</v>
      </c>
      <c r="L15" s="7" t="s">
        <v>5</v>
      </c>
      <c r="M15" s="8">
        <v>10</v>
      </c>
      <c r="N15" s="8">
        <v>10</v>
      </c>
      <c r="O15" s="8" t="s">
        <v>80</v>
      </c>
      <c r="P15" s="8" t="s">
        <v>47</v>
      </c>
      <c r="Q15" s="8" t="s">
        <v>81</v>
      </c>
      <c r="R15">
        <f>INDEX($U$8:$AL$8,MATCH(K15,$U$7:$AL$7,0))</f>
        <v>4</v>
      </c>
    </row>
    <row r="16" spans="1:38" ht="27" thickBot="1" x14ac:dyDescent="0.35">
      <c r="A16">
        <v>2</v>
      </c>
      <c r="B16" t="s">
        <v>83</v>
      </c>
      <c r="C16" t="s">
        <v>82</v>
      </c>
      <c r="D16" s="8">
        <v>9</v>
      </c>
      <c r="E16" s="8">
        <v>56</v>
      </c>
      <c r="F16" s="8">
        <v>28</v>
      </c>
      <c r="G16" s="8">
        <v>750</v>
      </c>
      <c r="H16" s="21">
        <v>400000</v>
      </c>
      <c r="I16" s="9" t="s">
        <v>33</v>
      </c>
      <c r="J16" s="8">
        <v>134</v>
      </c>
      <c r="K16" s="8">
        <v>8</v>
      </c>
      <c r="L16" s="7" t="s">
        <v>5</v>
      </c>
      <c r="M16" s="8">
        <v>10</v>
      </c>
      <c r="N16" s="8">
        <v>10</v>
      </c>
      <c r="O16" s="8" t="s">
        <v>80</v>
      </c>
      <c r="P16" s="8" t="s">
        <v>47</v>
      </c>
      <c r="Q16" s="8" t="s">
        <v>81</v>
      </c>
      <c r="R16">
        <f>INDEX($U$8:$AL$8,MATCH(K16,$U$7:$AL$7,0))</f>
        <v>5</v>
      </c>
    </row>
    <row r="17" spans="1:18" ht="27" thickBot="1" x14ac:dyDescent="0.35">
      <c r="A17">
        <v>2</v>
      </c>
      <c r="B17" t="s">
        <v>83</v>
      </c>
      <c r="C17" t="s">
        <v>82</v>
      </c>
      <c r="D17" s="8">
        <v>10</v>
      </c>
      <c r="E17" s="8">
        <v>63</v>
      </c>
      <c r="F17" s="8" t="s">
        <v>73</v>
      </c>
      <c r="G17" s="8">
        <v>810</v>
      </c>
      <c r="H17" s="21">
        <v>460000</v>
      </c>
      <c r="I17" s="9" t="s">
        <v>34</v>
      </c>
      <c r="J17" s="8">
        <v>146</v>
      </c>
      <c r="K17" s="8">
        <v>8</v>
      </c>
      <c r="L17" s="7" t="s">
        <v>5</v>
      </c>
      <c r="M17" s="8">
        <v>10</v>
      </c>
      <c r="N17" s="8">
        <v>10</v>
      </c>
      <c r="O17" s="8" t="s">
        <v>80</v>
      </c>
      <c r="P17" s="8" t="s">
        <v>47</v>
      </c>
      <c r="Q17" s="8" t="s">
        <v>81</v>
      </c>
      <c r="R17">
        <f>INDEX($U$8:$AL$8,MATCH(K17,$U$7:$AL$7,0))</f>
        <v>5</v>
      </c>
    </row>
    <row r="18" spans="1:18" ht="27" thickBot="1" x14ac:dyDescent="0.35">
      <c r="A18">
        <v>2</v>
      </c>
      <c r="B18" t="s">
        <v>83</v>
      </c>
      <c r="C18" t="s">
        <v>82</v>
      </c>
      <c r="D18" s="8">
        <v>11</v>
      </c>
      <c r="E18" s="8">
        <v>70</v>
      </c>
      <c r="F18" s="8">
        <v>35</v>
      </c>
      <c r="G18" s="8">
        <v>890</v>
      </c>
      <c r="H18" s="21">
        <v>600000</v>
      </c>
      <c r="I18" s="9" t="s">
        <v>74</v>
      </c>
      <c r="J18" s="8">
        <v>158</v>
      </c>
      <c r="K18" s="10">
        <v>9</v>
      </c>
      <c r="L18" s="7" t="s">
        <v>5</v>
      </c>
      <c r="M18" s="8">
        <v>10</v>
      </c>
      <c r="N18" s="8">
        <v>10</v>
      </c>
      <c r="O18" s="8" t="s">
        <v>80</v>
      </c>
      <c r="P18" s="8" t="s">
        <v>47</v>
      </c>
      <c r="Q18" s="8" t="s">
        <v>81</v>
      </c>
      <c r="R18">
        <f>INDEX($U$8:$AL$8,MATCH(K18,$U$7:$AL$7,0))</f>
        <v>6</v>
      </c>
    </row>
    <row r="19" spans="1:18" ht="27" thickBot="1" x14ac:dyDescent="0.35">
      <c r="A19">
        <v>2</v>
      </c>
      <c r="B19" t="s">
        <v>83</v>
      </c>
      <c r="C19" t="s">
        <v>82</v>
      </c>
      <c r="D19" s="8">
        <v>12</v>
      </c>
      <c r="E19" s="8">
        <v>74</v>
      </c>
      <c r="F19" s="8">
        <v>37</v>
      </c>
      <c r="G19" s="8">
        <v>970</v>
      </c>
      <c r="H19" s="21">
        <v>700000</v>
      </c>
      <c r="I19" s="9" t="s">
        <v>35</v>
      </c>
      <c r="J19" s="8">
        <v>169</v>
      </c>
      <c r="K19" s="8">
        <v>10</v>
      </c>
      <c r="L19" s="7" t="s">
        <v>5</v>
      </c>
      <c r="M19" s="8">
        <v>10</v>
      </c>
      <c r="N19" s="8">
        <v>10</v>
      </c>
      <c r="O19" s="8" t="s">
        <v>80</v>
      </c>
      <c r="P19" s="8" t="s">
        <v>47</v>
      </c>
      <c r="Q19" s="8" t="s">
        <v>81</v>
      </c>
      <c r="R19">
        <f>INDEX($U$8:$AL$8,MATCH(K19,$U$7:$AL$7,0))</f>
        <v>7</v>
      </c>
    </row>
    <row r="20" spans="1:18" ht="27" thickBot="1" x14ac:dyDescent="0.35">
      <c r="A20">
        <v>2</v>
      </c>
      <c r="B20" t="s">
        <v>83</v>
      </c>
      <c r="C20" t="s">
        <v>82</v>
      </c>
      <c r="D20" s="8">
        <v>13</v>
      </c>
      <c r="E20" s="8">
        <v>78</v>
      </c>
      <c r="F20" s="8">
        <v>39</v>
      </c>
      <c r="G20" s="21">
        <v>1050</v>
      </c>
      <c r="H20" s="21">
        <v>1000000</v>
      </c>
      <c r="I20" s="9" t="s">
        <v>36</v>
      </c>
      <c r="J20" s="8">
        <v>189</v>
      </c>
      <c r="K20" s="8">
        <v>10</v>
      </c>
      <c r="L20" s="7" t="s">
        <v>5</v>
      </c>
      <c r="M20" s="8">
        <v>10</v>
      </c>
      <c r="N20" s="8">
        <v>10</v>
      </c>
      <c r="O20" s="8" t="s">
        <v>80</v>
      </c>
      <c r="P20" s="8" t="s">
        <v>47</v>
      </c>
      <c r="Q20" s="8" t="s">
        <v>81</v>
      </c>
      <c r="R20">
        <f>INDEX($U$8:$AL$8,MATCH(K20,$U$7:$AL$7,0))</f>
        <v>7</v>
      </c>
    </row>
    <row r="21" spans="1:18" ht="27" thickBot="1" x14ac:dyDescent="0.35">
      <c r="A21">
        <v>2</v>
      </c>
      <c r="B21" t="s">
        <v>83</v>
      </c>
      <c r="C21" t="s">
        <v>82</v>
      </c>
      <c r="D21" s="8">
        <v>14</v>
      </c>
      <c r="E21" s="8">
        <v>82</v>
      </c>
      <c r="F21" s="8">
        <v>41</v>
      </c>
      <c r="G21" s="21">
        <v>1130</v>
      </c>
      <c r="H21" s="21">
        <v>1100000</v>
      </c>
      <c r="I21" s="9" t="s">
        <v>37</v>
      </c>
      <c r="J21" s="8">
        <v>198</v>
      </c>
      <c r="K21" s="10">
        <v>11</v>
      </c>
      <c r="L21" s="7" t="s">
        <v>5</v>
      </c>
      <c r="M21" s="8">
        <v>10</v>
      </c>
      <c r="N21" s="8">
        <v>10</v>
      </c>
      <c r="O21" s="8" t="s">
        <v>80</v>
      </c>
      <c r="P21" s="8" t="s">
        <v>47</v>
      </c>
      <c r="Q21" s="8" t="s">
        <v>81</v>
      </c>
      <c r="R21">
        <f>INDEX($U$8:$AL$8,MATCH(K21,$U$7:$AL$7,0))</f>
        <v>8</v>
      </c>
    </row>
    <row r="22" spans="1:18" ht="27" thickBot="1" x14ac:dyDescent="0.35">
      <c r="A22">
        <v>2</v>
      </c>
      <c r="B22" t="s">
        <v>83</v>
      </c>
      <c r="C22" t="s">
        <v>82</v>
      </c>
      <c r="D22" s="8">
        <v>15</v>
      </c>
      <c r="E22" s="8">
        <v>85</v>
      </c>
      <c r="F22" s="8" t="s">
        <v>75</v>
      </c>
      <c r="G22" s="21">
        <v>1230</v>
      </c>
      <c r="H22" s="21">
        <v>1300000</v>
      </c>
      <c r="I22" s="9" t="s">
        <v>38</v>
      </c>
      <c r="J22" s="8">
        <v>207</v>
      </c>
      <c r="K22" s="8">
        <v>11</v>
      </c>
      <c r="L22" s="7" t="s">
        <v>5</v>
      </c>
      <c r="M22" s="8">
        <v>10</v>
      </c>
      <c r="N22" s="8">
        <v>10</v>
      </c>
      <c r="O22" s="8" t="s">
        <v>80</v>
      </c>
      <c r="P22" s="8" t="s">
        <v>47</v>
      </c>
      <c r="Q22" s="8" t="s">
        <v>81</v>
      </c>
      <c r="R22">
        <f>INDEX($U$8:$AL$8,MATCH(K22,$U$7:$AL$7,0))</f>
        <v>8</v>
      </c>
    </row>
    <row r="23" spans="1:18" ht="27" thickBot="1" x14ac:dyDescent="0.35">
      <c r="A23">
        <v>2</v>
      </c>
      <c r="B23" t="s">
        <v>83</v>
      </c>
      <c r="C23" t="s">
        <v>82</v>
      </c>
      <c r="D23" s="8">
        <v>16</v>
      </c>
      <c r="E23" s="8">
        <v>90</v>
      </c>
      <c r="F23" s="8">
        <v>45</v>
      </c>
      <c r="G23" s="21">
        <v>1310</v>
      </c>
      <c r="H23" s="21">
        <v>1600000</v>
      </c>
      <c r="I23" s="9" t="s">
        <v>39</v>
      </c>
      <c r="J23" s="8">
        <v>240</v>
      </c>
      <c r="K23" s="10">
        <v>12</v>
      </c>
      <c r="L23" s="7" t="s">
        <v>5</v>
      </c>
      <c r="M23" s="8">
        <v>10</v>
      </c>
      <c r="N23" s="8">
        <v>10</v>
      </c>
      <c r="O23" s="8" t="s">
        <v>80</v>
      </c>
      <c r="P23" s="8" t="s">
        <v>47</v>
      </c>
      <c r="Q23" s="8" t="s">
        <v>81</v>
      </c>
      <c r="R23">
        <f>INDEX($U$8:$AL$8,MATCH(K23,$U$7:$AL$7,0))</f>
        <v>8</v>
      </c>
    </row>
    <row r="24" spans="1:18" ht="27" thickBot="1" x14ac:dyDescent="0.35">
      <c r="A24">
        <v>2</v>
      </c>
      <c r="B24" t="s">
        <v>83</v>
      </c>
      <c r="C24" t="s">
        <v>82</v>
      </c>
      <c r="D24" s="8">
        <v>17</v>
      </c>
      <c r="E24" s="8">
        <v>100</v>
      </c>
      <c r="F24" s="8">
        <v>50</v>
      </c>
      <c r="G24" s="21">
        <v>1390</v>
      </c>
      <c r="H24" s="21">
        <v>1800000</v>
      </c>
      <c r="I24" s="9" t="s">
        <v>40</v>
      </c>
      <c r="J24" s="8">
        <v>268</v>
      </c>
      <c r="K24" s="8">
        <v>12</v>
      </c>
      <c r="L24" s="7" t="s">
        <v>5</v>
      </c>
      <c r="M24" s="8">
        <v>10</v>
      </c>
      <c r="N24" s="8">
        <v>10</v>
      </c>
      <c r="O24" s="8" t="s">
        <v>80</v>
      </c>
      <c r="P24" s="8" t="s">
        <v>47</v>
      </c>
      <c r="Q24" s="8" t="s">
        <v>81</v>
      </c>
      <c r="R24">
        <f>INDEX($U$8:$AL$8,MATCH(K24,$U$7:$AL$7,0))</f>
        <v>8</v>
      </c>
    </row>
    <row r="25" spans="1:18" ht="27" thickBot="1" x14ac:dyDescent="0.35">
      <c r="A25">
        <v>2</v>
      </c>
      <c r="B25" t="s">
        <v>83</v>
      </c>
      <c r="C25" t="s">
        <v>82</v>
      </c>
      <c r="D25" s="8">
        <v>18</v>
      </c>
      <c r="E25" s="8">
        <v>110</v>
      </c>
      <c r="F25" s="8">
        <v>55</v>
      </c>
      <c r="G25" s="21">
        <v>1510</v>
      </c>
      <c r="H25" s="21">
        <v>2000000</v>
      </c>
      <c r="I25" s="9" t="s">
        <v>41</v>
      </c>
      <c r="J25" s="8">
        <v>293</v>
      </c>
      <c r="K25" s="10">
        <v>13</v>
      </c>
      <c r="L25" s="7" t="s">
        <v>5</v>
      </c>
      <c r="M25" s="8">
        <v>10</v>
      </c>
      <c r="N25" s="8">
        <v>10</v>
      </c>
      <c r="O25" s="8" t="s">
        <v>80</v>
      </c>
      <c r="P25" s="8" t="s">
        <v>47</v>
      </c>
      <c r="Q25" s="8" t="s">
        <v>81</v>
      </c>
      <c r="R25">
        <f>INDEX($U$8:$AL$8,MATCH(K25,$U$7:$AL$7,0))</f>
        <v>8</v>
      </c>
    </row>
    <row r="26" spans="1:18" ht="27" thickBot="1" x14ac:dyDescent="0.35">
      <c r="A26">
        <v>2</v>
      </c>
      <c r="B26" t="s">
        <v>83</v>
      </c>
      <c r="C26" t="s">
        <v>82</v>
      </c>
      <c r="D26" s="8">
        <v>19</v>
      </c>
      <c r="E26" s="8">
        <v>120</v>
      </c>
      <c r="F26" s="8">
        <v>60</v>
      </c>
      <c r="G26" s="21">
        <v>1600</v>
      </c>
      <c r="H26" s="21">
        <v>2200000</v>
      </c>
      <c r="I26" s="9" t="s">
        <v>76</v>
      </c>
      <c r="J26" s="8">
        <v>328</v>
      </c>
      <c r="K26" s="8">
        <v>13</v>
      </c>
      <c r="L26" s="7" t="s">
        <v>5</v>
      </c>
      <c r="M26" s="8">
        <v>10</v>
      </c>
      <c r="N26" s="8">
        <v>10</v>
      </c>
      <c r="O26" s="8" t="s">
        <v>80</v>
      </c>
      <c r="P26" s="8" t="s">
        <v>47</v>
      </c>
      <c r="Q26" s="8" t="s">
        <v>81</v>
      </c>
      <c r="R26">
        <f>INDEX($U$8:$AL$8,MATCH(K26,$U$7:$AL$7,0))</f>
        <v>8</v>
      </c>
    </row>
    <row r="27" spans="1:18" ht="27" thickBot="1" x14ac:dyDescent="0.35">
      <c r="A27">
        <v>2</v>
      </c>
      <c r="B27" t="s">
        <v>83</v>
      </c>
      <c r="C27" t="s">
        <v>82</v>
      </c>
      <c r="D27" s="8">
        <v>20</v>
      </c>
      <c r="E27" s="8">
        <v>135</v>
      </c>
      <c r="F27" s="8" t="s">
        <v>77</v>
      </c>
      <c r="G27" s="21">
        <v>1700</v>
      </c>
      <c r="H27" s="21">
        <v>3000000</v>
      </c>
      <c r="I27" s="9" t="s">
        <v>42</v>
      </c>
      <c r="J27" s="8">
        <v>360</v>
      </c>
      <c r="K27" s="10">
        <v>14</v>
      </c>
      <c r="L27" s="7" t="s">
        <v>5</v>
      </c>
      <c r="M27" s="8">
        <v>10</v>
      </c>
      <c r="N27" s="8">
        <v>10</v>
      </c>
      <c r="O27" s="8" t="s">
        <v>80</v>
      </c>
      <c r="P27" s="8" t="s">
        <v>47</v>
      </c>
      <c r="Q27" s="8" t="s">
        <v>81</v>
      </c>
      <c r="R27">
        <f>INDEX($U$8:$AL$8,MATCH(K27,$U$7:$AL$7,0))</f>
        <v>8</v>
      </c>
    </row>
    <row r="28" spans="1:18" ht="27" thickBot="1" x14ac:dyDescent="0.35">
      <c r="A28">
        <v>2</v>
      </c>
      <c r="B28" t="s">
        <v>83</v>
      </c>
      <c r="C28" t="s">
        <v>82</v>
      </c>
      <c r="D28" s="11">
        <v>21</v>
      </c>
      <c r="E28" s="11">
        <v>145</v>
      </c>
      <c r="F28" s="11" t="s">
        <v>78</v>
      </c>
      <c r="G28" s="22">
        <v>1800</v>
      </c>
      <c r="H28" s="22">
        <v>4000000</v>
      </c>
      <c r="I28" s="12" t="s">
        <v>79</v>
      </c>
      <c r="J28" s="11">
        <v>415</v>
      </c>
      <c r="K28" s="11">
        <v>15</v>
      </c>
      <c r="L28" s="7" t="s">
        <v>5</v>
      </c>
      <c r="M28" s="8">
        <v>10</v>
      </c>
      <c r="N28" s="8">
        <v>10</v>
      </c>
      <c r="O28" s="8" t="s">
        <v>80</v>
      </c>
      <c r="P28" s="8" t="s">
        <v>47</v>
      </c>
      <c r="Q28" s="8" t="s">
        <v>81</v>
      </c>
      <c r="R28">
        <f>INDEX($U$8:$AL$8,MATCH(K28,$U$7:$AL$7,0))</f>
        <v>8</v>
      </c>
    </row>
  </sheetData>
  <hyperlinks>
    <hyperlink ref="J7" r:id="rId1" tooltip="Experience" display="https://clashofclans.fandom.com/wiki/Experience" xr:uid="{9ABF28DA-53AF-4DF6-B6F1-FE1F9E4118E5}"/>
    <hyperlink ref="K7" r:id="rId2" tooltip="Town Hall" display="https://clashofclans.fandom.com/wiki/Town_Hall" xr:uid="{BF47888C-64B9-4260-AD02-7ED61CF5159E}"/>
    <hyperlink ref="T7" r:id="rId3" tooltip="Town Hall" display="https://clashofclans.fandom.com/wiki/Town_Hall" xr:uid="{2356C77B-F7EA-45B5-B2F8-FB935FECF4AB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9B0F-3FCE-4DFB-B093-D47425828D68}">
  <dimension ref="A3:AL28"/>
  <sheetViews>
    <sheetView topLeftCell="A7" workbookViewId="0">
      <selection activeCell="M7" sqref="M7:N7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17"/>
      <c r="M6" s="25"/>
    </row>
    <row r="7" spans="1:38" ht="53.4" thickBot="1" x14ac:dyDescent="0.35">
      <c r="A7" t="s">
        <v>50</v>
      </c>
      <c r="B7" t="s">
        <v>51</v>
      </c>
      <c r="C7" t="s">
        <v>49</v>
      </c>
      <c r="D7" s="19" t="s">
        <v>6</v>
      </c>
      <c r="E7" s="19" t="s">
        <v>7</v>
      </c>
      <c r="F7" s="19" t="s">
        <v>8</v>
      </c>
      <c r="G7" s="19" t="s">
        <v>9</v>
      </c>
      <c r="H7" s="19" t="s">
        <v>10</v>
      </c>
      <c r="I7" s="19" t="s">
        <v>11</v>
      </c>
      <c r="J7" s="20" t="s">
        <v>12</v>
      </c>
      <c r="K7" s="20" t="s">
        <v>13</v>
      </c>
      <c r="L7" s="18" t="s">
        <v>4</v>
      </c>
      <c r="M7" s="26" t="s">
        <v>93</v>
      </c>
      <c r="N7" s="14" t="s">
        <v>94</v>
      </c>
      <c r="O7" s="13" t="s">
        <v>43</v>
      </c>
      <c r="P7" s="13" t="s">
        <v>44</v>
      </c>
      <c r="Q7" s="13" t="s">
        <v>45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1</v>
      </c>
      <c r="B8" t="s">
        <v>52</v>
      </c>
      <c r="C8" t="s">
        <v>53</v>
      </c>
      <c r="D8" s="15">
        <v>1</v>
      </c>
      <c r="E8" s="15">
        <v>7</v>
      </c>
      <c r="F8" s="15" t="s">
        <v>14</v>
      </c>
      <c r="G8" s="15">
        <v>300</v>
      </c>
      <c r="H8" s="15">
        <v>250</v>
      </c>
      <c r="I8" s="16" t="s">
        <v>15</v>
      </c>
      <c r="J8" s="15">
        <v>2</v>
      </c>
      <c r="K8" s="15">
        <v>1</v>
      </c>
      <c r="L8" s="7" t="s">
        <v>5</v>
      </c>
      <c r="M8" s="8">
        <v>9</v>
      </c>
      <c r="N8" s="8">
        <v>9</v>
      </c>
      <c r="O8" s="8" t="s">
        <v>46</v>
      </c>
      <c r="P8" s="8" t="s">
        <v>47</v>
      </c>
      <c r="Q8" s="8" t="s">
        <v>48</v>
      </c>
      <c r="R8">
        <f>INDEX($U$8:$AL$8,MATCH(K8,$U$7:$AL$7,0))</f>
        <v>2</v>
      </c>
      <c r="T8" s="3" t="s">
        <v>1</v>
      </c>
      <c r="U8" s="4">
        <v>2</v>
      </c>
      <c r="V8" s="5">
        <v>2</v>
      </c>
      <c r="W8" s="5">
        <v>2</v>
      </c>
      <c r="X8" s="5">
        <v>2</v>
      </c>
      <c r="Y8" s="4">
        <v>3</v>
      </c>
      <c r="Z8" s="5">
        <v>3</v>
      </c>
      <c r="AA8" s="4">
        <v>5</v>
      </c>
      <c r="AB8" s="5">
        <v>5</v>
      </c>
      <c r="AC8" s="5">
        <v>5</v>
      </c>
      <c r="AD8" s="4">
        <v>6</v>
      </c>
      <c r="AE8" s="4">
        <v>7</v>
      </c>
      <c r="AF8" s="5">
        <v>7</v>
      </c>
      <c r="AG8" s="5">
        <v>7</v>
      </c>
      <c r="AH8" s="5">
        <v>7</v>
      </c>
      <c r="AI8" s="5">
        <v>7</v>
      </c>
      <c r="AJ8" s="4" t="s">
        <v>2</v>
      </c>
      <c r="AK8" s="4" t="s">
        <v>3</v>
      </c>
      <c r="AL8" s="5" t="s">
        <v>3</v>
      </c>
    </row>
    <row r="9" spans="1:38" ht="27" thickBot="1" x14ac:dyDescent="0.35">
      <c r="A9">
        <v>1</v>
      </c>
      <c r="B9" t="s">
        <v>52</v>
      </c>
      <c r="C9" t="s">
        <v>53</v>
      </c>
      <c r="D9" s="8">
        <v>2</v>
      </c>
      <c r="E9" s="8">
        <v>10</v>
      </c>
      <c r="F9" s="8">
        <v>8</v>
      </c>
      <c r="G9" s="8">
        <v>360</v>
      </c>
      <c r="H9" s="8">
        <v>1</v>
      </c>
      <c r="I9" s="9" t="s">
        <v>16</v>
      </c>
      <c r="J9" s="8">
        <v>5</v>
      </c>
      <c r="K9" s="8">
        <v>1</v>
      </c>
      <c r="L9" s="7" t="s">
        <v>5</v>
      </c>
      <c r="M9" s="8">
        <v>9</v>
      </c>
      <c r="N9" s="8">
        <v>9</v>
      </c>
      <c r="O9" s="8" t="s">
        <v>46</v>
      </c>
      <c r="P9" s="8" t="s">
        <v>47</v>
      </c>
      <c r="Q9" s="8" t="s">
        <v>48</v>
      </c>
      <c r="R9">
        <f>INDEX($U$8:$AL$8,MATCH(K9,$U$7:$AL$7,0))</f>
        <v>2</v>
      </c>
    </row>
    <row r="10" spans="1:38" ht="27" thickBot="1" x14ac:dyDescent="0.35">
      <c r="A10">
        <v>1</v>
      </c>
      <c r="B10" t="s">
        <v>52</v>
      </c>
      <c r="C10" t="s">
        <v>53</v>
      </c>
      <c r="D10" s="8">
        <v>3</v>
      </c>
      <c r="E10" s="8">
        <v>13</v>
      </c>
      <c r="F10" s="8" t="s">
        <v>17</v>
      </c>
      <c r="G10" s="8">
        <v>420</v>
      </c>
      <c r="H10" s="8">
        <v>4</v>
      </c>
      <c r="I10" s="9" t="s">
        <v>18</v>
      </c>
      <c r="J10" s="8">
        <v>10</v>
      </c>
      <c r="K10" s="10">
        <v>2</v>
      </c>
      <c r="L10" s="7" t="s">
        <v>5</v>
      </c>
      <c r="M10" s="8">
        <v>9</v>
      </c>
      <c r="N10" s="8">
        <v>9</v>
      </c>
      <c r="O10" s="8" t="s">
        <v>46</v>
      </c>
      <c r="P10" s="8" t="s">
        <v>47</v>
      </c>
      <c r="Q10" s="8" t="s">
        <v>48</v>
      </c>
      <c r="R10">
        <f>INDEX($U$8:$AL$8,MATCH(K10,$U$7:$AL$7,0))</f>
        <v>2</v>
      </c>
    </row>
    <row r="11" spans="1:38" ht="27" thickBot="1" x14ac:dyDescent="0.35">
      <c r="A11">
        <v>1</v>
      </c>
      <c r="B11" t="s">
        <v>52</v>
      </c>
      <c r="C11" t="s">
        <v>53</v>
      </c>
      <c r="D11" s="8">
        <v>4</v>
      </c>
      <c r="E11" s="8">
        <v>17</v>
      </c>
      <c r="F11" s="8" t="s">
        <v>19</v>
      </c>
      <c r="G11" s="8">
        <v>500</v>
      </c>
      <c r="H11" s="8">
        <v>16</v>
      </c>
      <c r="I11" s="9" t="s">
        <v>20</v>
      </c>
      <c r="J11" s="8">
        <v>34</v>
      </c>
      <c r="K11" s="8">
        <v>3</v>
      </c>
      <c r="L11" s="7" t="s">
        <v>5</v>
      </c>
      <c r="M11" s="8">
        <v>9</v>
      </c>
      <c r="N11" s="8">
        <v>9</v>
      </c>
      <c r="O11" s="8" t="s">
        <v>46</v>
      </c>
      <c r="P11" s="8" t="s">
        <v>47</v>
      </c>
      <c r="Q11" s="8" t="s">
        <v>48</v>
      </c>
      <c r="R11">
        <f>INDEX($U$8:$AL$8,MATCH(K11,$U$7:$AL$7,0))</f>
        <v>2</v>
      </c>
    </row>
    <row r="12" spans="1:38" ht="27" thickBot="1" x14ac:dyDescent="0.35">
      <c r="A12">
        <v>1</v>
      </c>
      <c r="B12" t="s">
        <v>52</v>
      </c>
      <c r="C12" t="s">
        <v>53</v>
      </c>
      <c r="D12" s="8">
        <v>5</v>
      </c>
      <c r="E12" s="8">
        <v>23</v>
      </c>
      <c r="F12" s="8" t="s">
        <v>21</v>
      </c>
      <c r="G12" s="8">
        <v>600</v>
      </c>
      <c r="H12" s="8">
        <v>50</v>
      </c>
      <c r="I12" s="9" t="s">
        <v>22</v>
      </c>
      <c r="J12" s="8">
        <v>42</v>
      </c>
      <c r="K12" s="8">
        <v>4</v>
      </c>
      <c r="L12" s="7" t="s">
        <v>5</v>
      </c>
      <c r="M12" s="8">
        <v>9</v>
      </c>
      <c r="N12" s="8">
        <v>9</v>
      </c>
      <c r="O12" s="8" t="s">
        <v>46</v>
      </c>
      <c r="P12" s="8" t="s">
        <v>47</v>
      </c>
      <c r="Q12" s="8" t="s">
        <v>48</v>
      </c>
      <c r="R12">
        <f>INDEX($U$8:$AL$8,MATCH(K12,$U$7:$AL$7,0))</f>
        <v>2</v>
      </c>
    </row>
    <row r="13" spans="1:38" ht="27" thickBot="1" x14ac:dyDescent="0.35">
      <c r="A13">
        <v>1</v>
      </c>
      <c r="B13" t="s">
        <v>52</v>
      </c>
      <c r="C13" t="s">
        <v>53</v>
      </c>
      <c r="D13" s="8">
        <v>6</v>
      </c>
      <c r="E13" s="8">
        <v>30</v>
      </c>
      <c r="F13" s="8">
        <v>24</v>
      </c>
      <c r="G13" s="8">
        <v>660</v>
      </c>
      <c r="H13" s="8">
        <v>60</v>
      </c>
      <c r="I13" s="9" t="s">
        <v>23</v>
      </c>
      <c r="J13" s="8">
        <v>60</v>
      </c>
      <c r="K13" s="8">
        <v>5</v>
      </c>
      <c r="L13" s="7" t="s">
        <v>5</v>
      </c>
      <c r="M13" s="8">
        <v>9</v>
      </c>
      <c r="N13" s="8">
        <v>9</v>
      </c>
      <c r="O13" s="8" t="s">
        <v>46</v>
      </c>
      <c r="P13" s="8" t="s">
        <v>47</v>
      </c>
      <c r="Q13" s="8" t="s">
        <v>48</v>
      </c>
      <c r="R13">
        <f>INDEX($U$8:$AL$8,MATCH(K13,$U$7:$AL$7,0))</f>
        <v>3</v>
      </c>
    </row>
    <row r="14" spans="1:38" ht="27" thickBot="1" x14ac:dyDescent="0.35">
      <c r="A14">
        <v>1</v>
      </c>
      <c r="B14" t="s">
        <v>52</v>
      </c>
      <c r="C14" t="s">
        <v>53</v>
      </c>
      <c r="D14" s="8">
        <v>7</v>
      </c>
      <c r="E14" s="8">
        <v>40</v>
      </c>
      <c r="F14" s="8">
        <v>32</v>
      </c>
      <c r="G14" s="8">
        <v>730</v>
      </c>
      <c r="H14" s="8">
        <v>100</v>
      </c>
      <c r="I14" s="9" t="s">
        <v>24</v>
      </c>
      <c r="J14" s="8">
        <v>84</v>
      </c>
      <c r="K14" s="8">
        <v>6</v>
      </c>
      <c r="L14" s="7" t="s">
        <v>5</v>
      </c>
      <c r="M14" s="8">
        <v>9</v>
      </c>
      <c r="N14" s="8">
        <v>9</v>
      </c>
      <c r="O14" s="8" t="s">
        <v>46</v>
      </c>
      <c r="P14" s="8" t="s">
        <v>47</v>
      </c>
      <c r="Q14" s="8" t="s">
        <v>48</v>
      </c>
      <c r="R14">
        <f>INDEX($U$8:$AL$8,MATCH(K14,$U$7:$AL$7,0))</f>
        <v>3</v>
      </c>
    </row>
    <row r="15" spans="1:38" ht="27" thickBot="1" x14ac:dyDescent="0.35">
      <c r="A15">
        <v>1</v>
      </c>
      <c r="B15" t="s">
        <v>52</v>
      </c>
      <c r="C15" t="s">
        <v>53</v>
      </c>
      <c r="D15" s="8">
        <v>8</v>
      </c>
      <c r="E15" s="8">
        <v>48</v>
      </c>
      <c r="F15" s="8" t="s">
        <v>25</v>
      </c>
      <c r="G15" s="8">
        <v>800</v>
      </c>
      <c r="H15" s="8">
        <v>160</v>
      </c>
      <c r="I15" s="9" t="s">
        <v>26</v>
      </c>
      <c r="J15" s="8">
        <v>103</v>
      </c>
      <c r="K15" s="8">
        <v>7</v>
      </c>
      <c r="L15" s="7" t="s">
        <v>5</v>
      </c>
      <c r="M15" s="8">
        <v>9</v>
      </c>
      <c r="N15" s="8">
        <v>9</v>
      </c>
      <c r="O15" s="8" t="s">
        <v>46</v>
      </c>
      <c r="P15" s="8" t="s">
        <v>47</v>
      </c>
      <c r="Q15" s="8" t="s">
        <v>48</v>
      </c>
      <c r="R15">
        <f>INDEX($U$8:$AL$8,MATCH(K15,$U$7:$AL$7,0))</f>
        <v>5</v>
      </c>
    </row>
    <row r="16" spans="1:38" ht="27" thickBot="1" x14ac:dyDescent="0.35">
      <c r="A16">
        <v>1</v>
      </c>
      <c r="B16" t="s">
        <v>52</v>
      </c>
      <c r="C16" t="s">
        <v>53</v>
      </c>
      <c r="D16" s="8">
        <v>9</v>
      </c>
      <c r="E16" s="8">
        <v>56</v>
      </c>
      <c r="F16" s="8" t="s">
        <v>27</v>
      </c>
      <c r="G16" s="8">
        <v>880</v>
      </c>
      <c r="H16" s="8">
        <v>250</v>
      </c>
      <c r="I16" s="9" t="s">
        <v>28</v>
      </c>
      <c r="J16" s="8">
        <v>112</v>
      </c>
      <c r="K16" s="8">
        <v>8</v>
      </c>
      <c r="L16" s="7" t="s">
        <v>5</v>
      </c>
      <c r="M16" s="8">
        <v>9</v>
      </c>
      <c r="N16" s="8">
        <v>9</v>
      </c>
      <c r="O16" s="8" t="s">
        <v>46</v>
      </c>
      <c r="P16" s="8" t="s">
        <v>47</v>
      </c>
      <c r="Q16" s="8" t="s">
        <v>48</v>
      </c>
      <c r="R16">
        <f>INDEX($U$8:$AL$8,MATCH(K16,$U$7:$AL$7,0))</f>
        <v>5</v>
      </c>
    </row>
    <row r="17" spans="1:18" ht="27" thickBot="1" x14ac:dyDescent="0.35">
      <c r="A17">
        <v>1</v>
      </c>
      <c r="B17" t="s">
        <v>52</v>
      </c>
      <c r="C17" t="s">
        <v>53</v>
      </c>
      <c r="D17" s="8">
        <v>10</v>
      </c>
      <c r="E17" s="8">
        <v>64</v>
      </c>
      <c r="F17" s="8" t="s">
        <v>29</v>
      </c>
      <c r="G17" s="8">
        <v>960</v>
      </c>
      <c r="H17" s="8">
        <v>330</v>
      </c>
      <c r="I17" s="9" t="s">
        <v>30</v>
      </c>
      <c r="J17" s="8">
        <v>120</v>
      </c>
      <c r="K17" s="8">
        <v>8</v>
      </c>
      <c r="L17" s="7" t="s">
        <v>5</v>
      </c>
      <c r="M17" s="8">
        <v>9</v>
      </c>
      <c r="N17" s="8">
        <v>9</v>
      </c>
      <c r="O17" s="8" t="s">
        <v>46</v>
      </c>
      <c r="P17" s="8" t="s">
        <v>47</v>
      </c>
      <c r="Q17" s="8" t="s">
        <v>48</v>
      </c>
      <c r="R17">
        <f>INDEX($U$8:$AL$8,MATCH(K17,$U$7:$AL$7,0))</f>
        <v>5</v>
      </c>
    </row>
    <row r="18" spans="1:18" ht="27" thickBot="1" x14ac:dyDescent="0.35">
      <c r="A18">
        <v>1</v>
      </c>
      <c r="B18" t="s">
        <v>52</v>
      </c>
      <c r="C18" t="s">
        <v>53</v>
      </c>
      <c r="D18" s="8">
        <v>11</v>
      </c>
      <c r="E18" s="8">
        <v>74</v>
      </c>
      <c r="F18" s="8" t="s">
        <v>31</v>
      </c>
      <c r="G18" s="8" t="s">
        <v>54</v>
      </c>
      <c r="H18" s="8">
        <v>500</v>
      </c>
      <c r="I18" s="9" t="s">
        <v>32</v>
      </c>
      <c r="J18" s="8">
        <v>127</v>
      </c>
      <c r="K18" s="10">
        <v>9</v>
      </c>
      <c r="L18" s="7" t="s">
        <v>5</v>
      </c>
      <c r="M18" s="8">
        <v>9</v>
      </c>
      <c r="N18" s="8">
        <v>9</v>
      </c>
      <c r="O18" s="8" t="s">
        <v>46</v>
      </c>
      <c r="P18" s="8" t="s">
        <v>47</v>
      </c>
      <c r="Q18" s="8" t="s">
        <v>48</v>
      </c>
      <c r="R18">
        <f>INDEX($U$8:$AL$8,MATCH(K18,$U$7:$AL$7,0))</f>
        <v>5</v>
      </c>
    </row>
    <row r="19" spans="1:18" ht="27" thickBot="1" x14ac:dyDescent="0.35">
      <c r="A19">
        <v>1</v>
      </c>
      <c r="B19" t="s">
        <v>52</v>
      </c>
      <c r="C19" t="s">
        <v>53</v>
      </c>
      <c r="D19" s="8">
        <v>12</v>
      </c>
      <c r="E19" s="8">
        <v>85</v>
      </c>
      <c r="F19" s="8">
        <v>68</v>
      </c>
      <c r="G19" s="8" t="s">
        <v>55</v>
      </c>
      <c r="H19" s="8">
        <v>600</v>
      </c>
      <c r="I19" s="9" t="s">
        <v>33</v>
      </c>
      <c r="J19" s="8">
        <v>134</v>
      </c>
      <c r="K19" s="8">
        <v>10</v>
      </c>
      <c r="L19" s="7" t="s">
        <v>5</v>
      </c>
      <c r="M19" s="8">
        <v>9</v>
      </c>
      <c r="N19" s="8">
        <v>9</v>
      </c>
      <c r="O19" s="8" t="s">
        <v>46</v>
      </c>
      <c r="P19" s="8" t="s">
        <v>47</v>
      </c>
      <c r="Q19" s="8" t="s">
        <v>48</v>
      </c>
      <c r="R19">
        <f>INDEX($U$8:$AL$8,MATCH(K19,$U$7:$AL$7,0))</f>
        <v>6</v>
      </c>
    </row>
    <row r="20" spans="1:18" ht="27" thickBot="1" x14ac:dyDescent="0.35">
      <c r="A20">
        <v>1</v>
      </c>
      <c r="B20" t="s">
        <v>52</v>
      </c>
      <c r="C20" t="s">
        <v>53</v>
      </c>
      <c r="D20" s="8">
        <v>13</v>
      </c>
      <c r="E20" s="8">
        <v>95</v>
      </c>
      <c r="F20" s="8">
        <v>76</v>
      </c>
      <c r="G20" s="8" t="s">
        <v>56</v>
      </c>
      <c r="H20" s="8">
        <v>660</v>
      </c>
      <c r="I20" s="9" t="s">
        <v>34</v>
      </c>
      <c r="J20" s="8">
        <v>146</v>
      </c>
      <c r="K20" s="8">
        <v>10</v>
      </c>
      <c r="L20" s="7" t="s">
        <v>5</v>
      </c>
      <c r="M20" s="8">
        <v>9</v>
      </c>
      <c r="N20" s="8">
        <v>9</v>
      </c>
      <c r="O20" s="8" t="s">
        <v>46</v>
      </c>
      <c r="P20" s="8" t="s">
        <v>47</v>
      </c>
      <c r="Q20" s="8" t="s">
        <v>48</v>
      </c>
      <c r="R20">
        <f>INDEX($U$8:$AL$8,MATCH(K20,$U$7:$AL$7,0))</f>
        <v>6</v>
      </c>
    </row>
    <row r="21" spans="1:18" ht="27" thickBot="1" x14ac:dyDescent="0.35">
      <c r="A21">
        <v>1</v>
      </c>
      <c r="B21" t="s">
        <v>52</v>
      </c>
      <c r="C21" t="s">
        <v>53</v>
      </c>
      <c r="D21" s="8">
        <v>14</v>
      </c>
      <c r="E21" s="8">
        <v>100</v>
      </c>
      <c r="F21" s="8">
        <v>80</v>
      </c>
      <c r="G21" s="8" t="s">
        <v>57</v>
      </c>
      <c r="H21" s="8">
        <v>1000000</v>
      </c>
      <c r="I21" s="9" t="s">
        <v>35</v>
      </c>
      <c r="J21" s="8">
        <v>169</v>
      </c>
      <c r="K21" s="10">
        <v>11</v>
      </c>
      <c r="L21" s="7" t="s">
        <v>5</v>
      </c>
      <c r="M21" s="8">
        <v>9</v>
      </c>
      <c r="N21" s="8">
        <v>9</v>
      </c>
      <c r="O21" s="8" t="s">
        <v>46</v>
      </c>
      <c r="P21" s="8" t="s">
        <v>47</v>
      </c>
      <c r="Q21" s="8" t="s">
        <v>48</v>
      </c>
      <c r="R21">
        <f>INDEX($U$8:$AL$8,MATCH(K21,$U$7:$AL$7,0))</f>
        <v>7</v>
      </c>
    </row>
    <row r="22" spans="1:18" ht="27" thickBot="1" x14ac:dyDescent="0.35">
      <c r="A22">
        <v>1</v>
      </c>
      <c r="B22" t="s">
        <v>52</v>
      </c>
      <c r="C22" t="s">
        <v>53</v>
      </c>
      <c r="D22" s="8">
        <v>15</v>
      </c>
      <c r="E22" s="8">
        <v>105</v>
      </c>
      <c r="F22" s="8">
        <v>84</v>
      </c>
      <c r="G22" s="8" t="s">
        <v>58</v>
      </c>
      <c r="H22" s="8">
        <v>1200000</v>
      </c>
      <c r="I22" s="9" t="s">
        <v>36</v>
      </c>
      <c r="J22" s="8">
        <v>189</v>
      </c>
      <c r="K22" s="8">
        <v>11</v>
      </c>
      <c r="L22" s="7" t="s">
        <v>5</v>
      </c>
      <c r="M22" s="8">
        <v>9</v>
      </c>
      <c r="N22" s="8">
        <v>9</v>
      </c>
      <c r="O22" s="8" t="s">
        <v>46</v>
      </c>
      <c r="P22" s="8" t="s">
        <v>47</v>
      </c>
      <c r="Q22" s="8" t="s">
        <v>48</v>
      </c>
      <c r="R22">
        <f>INDEX($U$8:$AL$8,MATCH(K22,$U$7:$AL$7,0))</f>
        <v>7</v>
      </c>
    </row>
    <row r="23" spans="1:18" ht="27" thickBot="1" x14ac:dyDescent="0.35">
      <c r="A23">
        <v>1</v>
      </c>
      <c r="B23" t="s">
        <v>52</v>
      </c>
      <c r="C23" t="s">
        <v>53</v>
      </c>
      <c r="D23" s="8">
        <v>16</v>
      </c>
      <c r="E23" s="8">
        <v>110</v>
      </c>
      <c r="F23" s="8">
        <v>88</v>
      </c>
      <c r="G23" s="8" t="s">
        <v>59</v>
      </c>
      <c r="H23" s="8">
        <v>1300000</v>
      </c>
      <c r="I23" s="9" t="s">
        <v>37</v>
      </c>
      <c r="J23" s="8">
        <v>198</v>
      </c>
      <c r="K23" s="10">
        <v>12</v>
      </c>
      <c r="L23" s="7" t="s">
        <v>5</v>
      </c>
      <c r="M23" s="8">
        <v>9</v>
      </c>
      <c r="N23" s="8">
        <v>9</v>
      </c>
      <c r="O23" s="8" t="s">
        <v>46</v>
      </c>
      <c r="P23" s="8" t="s">
        <v>47</v>
      </c>
      <c r="Q23" s="8" t="s">
        <v>48</v>
      </c>
      <c r="R23">
        <f>INDEX($U$8:$AL$8,MATCH(K23,$U$7:$AL$7,0))</f>
        <v>7</v>
      </c>
    </row>
    <row r="24" spans="1:18" ht="27" thickBot="1" x14ac:dyDescent="0.35">
      <c r="A24">
        <v>1</v>
      </c>
      <c r="B24" t="s">
        <v>52</v>
      </c>
      <c r="C24" t="s">
        <v>53</v>
      </c>
      <c r="D24" s="8">
        <v>17</v>
      </c>
      <c r="E24" s="8">
        <v>115</v>
      </c>
      <c r="F24" s="8">
        <v>92</v>
      </c>
      <c r="G24" s="8" t="s">
        <v>60</v>
      </c>
      <c r="H24" s="8">
        <v>1500000</v>
      </c>
      <c r="I24" s="9" t="s">
        <v>38</v>
      </c>
      <c r="J24" s="8">
        <v>207</v>
      </c>
      <c r="K24" s="8">
        <v>12</v>
      </c>
      <c r="L24" s="7" t="s">
        <v>5</v>
      </c>
      <c r="M24" s="8">
        <v>9</v>
      </c>
      <c r="N24" s="8">
        <v>9</v>
      </c>
      <c r="O24" s="8" t="s">
        <v>46</v>
      </c>
      <c r="P24" s="8" t="s">
        <v>47</v>
      </c>
      <c r="Q24" s="8" t="s">
        <v>48</v>
      </c>
      <c r="R24">
        <f>INDEX($U$8:$AL$8,MATCH(K24,$U$7:$AL$7,0))</f>
        <v>7</v>
      </c>
    </row>
    <row r="25" spans="1:18" ht="27" thickBot="1" x14ac:dyDescent="0.35">
      <c r="A25">
        <v>1</v>
      </c>
      <c r="B25" t="s">
        <v>52</v>
      </c>
      <c r="C25" t="s">
        <v>53</v>
      </c>
      <c r="D25" s="8">
        <v>18</v>
      </c>
      <c r="E25" s="8">
        <v>125</v>
      </c>
      <c r="F25" s="8">
        <v>100</v>
      </c>
      <c r="G25" s="8" t="s">
        <v>61</v>
      </c>
      <c r="H25" s="8">
        <v>1800000</v>
      </c>
      <c r="I25" s="9" t="s">
        <v>39</v>
      </c>
      <c r="J25" s="8">
        <v>240</v>
      </c>
      <c r="K25" s="10">
        <v>13</v>
      </c>
      <c r="L25" s="7" t="s">
        <v>5</v>
      </c>
      <c r="M25" s="8">
        <v>9</v>
      </c>
      <c r="N25" s="8">
        <v>9</v>
      </c>
      <c r="O25" s="8" t="s">
        <v>46</v>
      </c>
      <c r="P25" s="8" t="s">
        <v>47</v>
      </c>
      <c r="Q25" s="8" t="s">
        <v>48</v>
      </c>
      <c r="R25">
        <f>INDEX($U$8:$AL$8,MATCH(K25,$U$7:$AL$7,0))</f>
        <v>7</v>
      </c>
    </row>
    <row r="26" spans="1:18" ht="27" thickBot="1" x14ac:dyDescent="0.35">
      <c r="A26">
        <v>1</v>
      </c>
      <c r="B26" t="s">
        <v>52</v>
      </c>
      <c r="C26" t="s">
        <v>53</v>
      </c>
      <c r="D26" s="8">
        <v>19</v>
      </c>
      <c r="E26" s="8">
        <v>135</v>
      </c>
      <c r="F26" s="8">
        <v>108</v>
      </c>
      <c r="G26" s="8">
        <v>2</v>
      </c>
      <c r="H26" s="8">
        <v>2000000</v>
      </c>
      <c r="I26" s="9" t="s">
        <v>40</v>
      </c>
      <c r="J26" s="8">
        <v>268</v>
      </c>
      <c r="K26" s="8">
        <v>13</v>
      </c>
      <c r="L26" s="7" t="s">
        <v>5</v>
      </c>
      <c r="M26" s="8">
        <v>9</v>
      </c>
      <c r="N26" s="8">
        <v>9</v>
      </c>
      <c r="O26" s="8" t="s">
        <v>46</v>
      </c>
      <c r="P26" s="8" t="s">
        <v>47</v>
      </c>
      <c r="Q26" s="8" t="s">
        <v>48</v>
      </c>
      <c r="R26">
        <f>INDEX($U$8:$AL$8,MATCH(K26,$U$7:$AL$7,0))</f>
        <v>7</v>
      </c>
    </row>
    <row r="27" spans="1:18" ht="27" thickBot="1" x14ac:dyDescent="0.35">
      <c r="A27">
        <v>1</v>
      </c>
      <c r="B27" t="s">
        <v>52</v>
      </c>
      <c r="C27" t="s">
        <v>53</v>
      </c>
      <c r="D27" s="8">
        <v>20</v>
      </c>
      <c r="E27" s="8">
        <v>150</v>
      </c>
      <c r="F27" s="8">
        <v>120</v>
      </c>
      <c r="G27" s="8" t="s">
        <v>62</v>
      </c>
      <c r="H27" s="8">
        <v>2600000</v>
      </c>
      <c r="I27" s="9" t="s">
        <v>41</v>
      </c>
      <c r="J27" s="8">
        <v>293</v>
      </c>
      <c r="K27" s="10">
        <v>14</v>
      </c>
      <c r="L27" s="7" t="s">
        <v>5</v>
      </c>
      <c r="M27" s="8">
        <v>9</v>
      </c>
      <c r="N27" s="8">
        <v>9</v>
      </c>
      <c r="O27" s="8" t="s">
        <v>46</v>
      </c>
      <c r="P27" s="8" t="s">
        <v>47</v>
      </c>
      <c r="Q27" s="8" t="s">
        <v>48</v>
      </c>
      <c r="R27">
        <f>INDEX($U$8:$AL$8,MATCH(K27,$U$7:$AL$7,0))</f>
        <v>7</v>
      </c>
    </row>
    <row r="28" spans="1:18" ht="27" thickBot="1" x14ac:dyDescent="0.35">
      <c r="A28">
        <v>1</v>
      </c>
      <c r="B28" t="s">
        <v>52</v>
      </c>
      <c r="C28" t="s">
        <v>53</v>
      </c>
      <c r="D28" s="11">
        <v>21</v>
      </c>
      <c r="E28" s="11">
        <v>160</v>
      </c>
      <c r="F28" s="11">
        <v>128</v>
      </c>
      <c r="G28" s="11" t="s">
        <v>63</v>
      </c>
      <c r="H28" s="11">
        <v>3000000</v>
      </c>
      <c r="I28" s="12" t="s">
        <v>42</v>
      </c>
      <c r="J28" s="11">
        <v>360</v>
      </c>
      <c r="K28" s="11">
        <v>15</v>
      </c>
      <c r="L28" s="7" t="s">
        <v>5</v>
      </c>
      <c r="M28" s="8">
        <v>9</v>
      </c>
      <c r="N28" s="8">
        <v>9</v>
      </c>
      <c r="O28" s="8" t="s">
        <v>46</v>
      </c>
      <c r="P28" s="8" t="s">
        <v>47</v>
      </c>
      <c r="Q28" s="8" t="s">
        <v>48</v>
      </c>
      <c r="R28">
        <f>INDEX($U$8:$AL$8,MATCH(K28,$U$7:$AL$7,0))</f>
        <v>7</v>
      </c>
    </row>
  </sheetData>
  <hyperlinks>
    <hyperlink ref="T7" r:id="rId1" tooltip="Town Hall" display="https://clashofclans.fandom.com/wiki/Town_Hall" xr:uid="{F95EAA12-F257-4BAA-A0C0-4D3C8D3E1E9F}"/>
    <hyperlink ref="J7" r:id="rId2" tooltip="Experience" display="https://clashofclans.fandom.com/wiki/Experience" xr:uid="{7092B6FE-A1FD-4FFF-BFE5-38A3CE784B46}"/>
    <hyperlink ref="K7" r:id="rId3" tooltip="Town Hall" display="https://clashofclans.fandom.com/wiki/Town_Hall" xr:uid="{95B29FFA-C4AB-4527-9B05-9628A2B94C26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Mortar</vt:lpstr>
      <vt:lpstr>Archer Tower</vt:lpstr>
      <vt:lpstr>canon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widi arrohman</dc:creator>
  <cp:lastModifiedBy>widi arrohman</cp:lastModifiedBy>
  <dcterms:created xsi:type="dcterms:W3CDTF">2026-07-26T06:09:45Z</dcterms:created>
  <dcterms:modified xsi:type="dcterms:W3CDTF">2026-07-26T06:44:38Z</dcterms:modified>
</cp:coreProperties>
</file>