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coc-base-designer\data\"/>
    </mc:Choice>
  </mc:AlternateContent>
  <xr:revisionPtr revIDLastSave="0" documentId="13_ncr:1_{457A0F5E-3BAF-4A02-8027-DB0BE3872C3F}" xr6:coauthVersionLast="47" xr6:coauthVersionMax="47" xr10:uidLastSave="{00000000-0000-0000-0000-000000000000}"/>
  <bookViews>
    <workbookView xWindow="-108" yWindow="-108" windowWidth="23256" windowHeight="12456" xr2:uid="{990ECCB1-38A2-40BE-9CA8-CCE9A9FAB587}"/>
  </bookViews>
  <sheets>
    <sheet name="Wizard Tower" sheetId="8" r:id="rId1"/>
    <sheet name="Town Hall" sheetId="7" r:id="rId2"/>
    <sheet name="Wall" sheetId="6" r:id="rId3"/>
    <sheet name="Mortar" sheetId="4" r:id="rId4"/>
    <sheet name="Archer Tower" sheetId="3" r:id="rId5"/>
    <sheet name="canon" sheetId="2" r:id="rId6"/>
  </sheets>
  <calcPr calcId="191029"/>
</workbook>
</file>

<file path=xl/calcChain.xml><?xml version="1.0" encoding="utf-8"?>
<calcChain xmlns="http://schemas.openxmlformats.org/spreadsheetml/2006/main">
  <c r="R24" i="8" l="1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8" i="6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8" i="3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</calcChain>
</file>

<file path=xl/sharedStrings.xml><?xml version="1.0" encoding="utf-8"?>
<sst xmlns="http://schemas.openxmlformats.org/spreadsheetml/2006/main" count="926" uniqueCount="145">
  <si>
    <t>Town Hall Level</t>
  </si>
  <si>
    <t>Number Available</t>
  </si>
  <si>
    <t>7/3*</t>
  </si>
  <si>
    <t>7/0*</t>
  </si>
  <si>
    <t>Size </t>
  </si>
  <si>
    <t>3x3</t>
  </si>
  <si>
    <t>Level</t>
  </si>
  <si>
    <t>Damage per Second</t>
  </si>
  <si>
    <t>Damage per Shot</t>
  </si>
  <si>
    <t>Hitpoints</t>
  </si>
  <si>
    <t>Build Cost</t>
  </si>
  <si>
    <t>Build Time</t>
  </si>
  <si>
    <t>Experience Gained</t>
  </si>
  <si>
    <t>Town Hall Level Required</t>
  </si>
  <si>
    <t>5.6</t>
  </si>
  <si>
    <t>5s</t>
  </si>
  <si>
    <t>30s</t>
  </si>
  <si>
    <t>10.4</t>
  </si>
  <si>
    <t>2m</t>
  </si>
  <si>
    <t>13.6</t>
  </si>
  <si>
    <t>20m</t>
  </si>
  <si>
    <t>18.4</t>
  </si>
  <si>
    <t>30m</t>
  </si>
  <si>
    <t>1h</t>
  </si>
  <si>
    <t>2h</t>
  </si>
  <si>
    <t>38.4</t>
  </si>
  <si>
    <t>3h</t>
  </si>
  <si>
    <t>44.8</t>
  </si>
  <si>
    <t>3h 30m</t>
  </si>
  <si>
    <t>51.2</t>
  </si>
  <si>
    <t>4h</t>
  </si>
  <si>
    <t>59.2</t>
  </si>
  <si>
    <t>4h 30m</t>
  </si>
  <si>
    <t>5h</t>
  </si>
  <si>
    <t>6h</t>
  </si>
  <si>
    <t>1,000,000</t>
  </si>
  <si>
    <t>8h</t>
  </si>
  <si>
    <t>10h</t>
  </si>
  <si>
    <t>11h</t>
  </si>
  <si>
    <t>12h</t>
  </si>
  <si>
    <t>16h</t>
  </si>
  <si>
    <t>2,000,000</t>
  </si>
  <si>
    <t>20h</t>
  </si>
  <si>
    <t>1d</t>
  </si>
  <si>
    <t>1d 12h</t>
  </si>
  <si>
    <t>Attack Speed </t>
  </si>
  <si>
    <t>Damage Type </t>
  </si>
  <si>
    <t>Unit Type Targeted </t>
  </si>
  <si>
    <t>0.8s</t>
  </si>
  <si>
    <t>Single Target</t>
  </si>
  <si>
    <t>Ground</t>
  </si>
  <si>
    <t>Name</t>
  </si>
  <si>
    <t>ID</t>
  </si>
  <si>
    <t>Code</t>
  </si>
  <si>
    <t>CN</t>
  </si>
  <si>
    <t>Canon</t>
  </si>
  <si>
    <t>1.06</t>
  </si>
  <si>
    <t>1.16</t>
  </si>
  <si>
    <t>1.26</t>
  </si>
  <si>
    <t>1.38</t>
  </si>
  <si>
    <t>1.5</t>
  </si>
  <si>
    <t>1.62</t>
  </si>
  <si>
    <t>1.74</t>
  </si>
  <si>
    <t>1.87</t>
  </si>
  <si>
    <t>2.15</t>
  </si>
  <si>
    <t>2.25</t>
  </si>
  <si>
    <t>8/4*</t>
  </si>
  <si>
    <t>9/2*</t>
  </si>
  <si>
    <t>5.5</t>
  </si>
  <si>
    <t>15s</t>
  </si>
  <si>
    <t>7.5</t>
  </si>
  <si>
    <t>9.5</t>
  </si>
  <si>
    <t>12.5</t>
  </si>
  <si>
    <t>1h 30m</t>
  </si>
  <si>
    <t>17.5</t>
  </si>
  <si>
    <t>31.5</t>
  </si>
  <si>
    <t>7h</t>
  </si>
  <si>
    <t>42.5</t>
  </si>
  <si>
    <t>1d 6h</t>
  </si>
  <si>
    <t>67.5</t>
  </si>
  <si>
    <t>72.5</t>
  </si>
  <si>
    <t>4,000,000</t>
  </si>
  <si>
    <t>2d</t>
  </si>
  <si>
    <t>0.5s</t>
  </si>
  <si>
    <t>Ground &amp; Air</t>
  </si>
  <si>
    <t>Archer Tower</t>
  </si>
  <si>
    <t>AC</t>
  </si>
  <si>
    <t>Mortar</t>
  </si>
  <si>
    <t>MRT</t>
  </si>
  <si>
    <t>18h</t>
  </si>
  <si>
    <t>2d 12h</t>
  </si>
  <si>
    <t>3d</t>
  </si>
  <si>
    <t>4d</t>
  </si>
  <si>
    <t>13,000,000</t>
  </si>
  <si>
    <t>5d</t>
  </si>
  <si>
    <t>12d 12h</t>
  </si>
  <si>
    <t>Splash (1.5 tiles)</t>
  </si>
  <si>
    <t xml:space="preserve">min_range </t>
  </si>
  <si>
    <t>max_range</t>
  </si>
  <si>
    <t>WLL</t>
  </si>
  <si>
    <t>Wall</t>
  </si>
  <si>
    <t>Cost</t>
  </si>
  <si>
    <t>N/A</t>
  </si>
  <si>
    <t>1x1</t>
  </si>
  <si>
    <t>4x4</t>
  </si>
  <si>
    <t>TH</t>
  </si>
  <si>
    <t>Town Hall</t>
  </si>
  <si>
    <t>TH Level</t>
  </si>
  <si>
    <t>Maximum Number of</t>
  </si>
  <si>
    <t>Buildings Available*</t>
  </si>
  <si>
    <t>Traps Available</t>
  </si>
  <si>
    <t>10s</t>
  </si>
  <si>
    <t>2,500,000</t>
  </si>
  <si>
    <t>3,500,000</t>
  </si>
  <si>
    <t>6,000,000</t>
  </si>
  <si>
    <t>6d</t>
  </si>
  <si>
    <t>9,000,000</t>
  </si>
  <si>
    <t>7d</t>
  </si>
  <si>
    <t>12,000,000</t>
  </si>
  <si>
    <t>7d 12h</t>
  </si>
  <si>
    <t>8d</t>
  </si>
  <si>
    <t>15,000,000</t>
  </si>
  <si>
    <t>9d</t>
  </si>
  <si>
    <t>16,000,000</t>
  </si>
  <si>
    <t>10d</t>
  </si>
  <si>
    <t>25,000,000</t>
  </si>
  <si>
    <t>12d</t>
  </si>
  <si>
    <t>6/2*</t>
  </si>
  <si>
    <t>14.3</t>
  </si>
  <si>
    <t>16.9</t>
  </si>
  <si>
    <t>20.8</t>
  </si>
  <si>
    <t>31.2</t>
  </si>
  <si>
    <t>41.6</t>
  </si>
  <si>
    <t>58.5</t>
  </si>
  <si>
    <t>80.6</t>
  </si>
  <si>
    <t>101.4</t>
  </si>
  <si>
    <t>1d 18h</t>
  </si>
  <si>
    <t>109.2</t>
  </si>
  <si>
    <t>123.5</t>
  </si>
  <si>
    <t>132.6</t>
  </si>
  <si>
    <t>4d 12h</t>
  </si>
  <si>
    <t>5d 12h</t>
  </si>
  <si>
    <t>1.3s</t>
  </si>
  <si>
    <t>Splash - 1 tile</t>
  </si>
  <si>
    <t>Ground &amp; 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</si>
</sst>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3A3A3A"/>
      <name val="Arial"/>
      <family val="2"/>
    </font>
    <font>
      <sz val="10"/>
      <color rgb="FF3A3A3A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EEEEE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CECECE"/>
      </bottom>
      <diagonal/>
    </border>
    <border>
      <left/>
      <right/>
      <top/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/>
      <diagonal/>
    </border>
    <border>
      <left style="medium">
        <color rgb="FFCECECE"/>
      </left>
      <right style="medium">
        <color rgb="FFCECECE"/>
      </right>
      <top/>
      <bottom style="medium">
        <color rgb="FFCECE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ECECE"/>
      </right>
      <top style="medium">
        <color rgb="FFCECECE"/>
      </top>
      <bottom style="medium">
        <color rgb="FFCECECE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38">
    <xf numFmtId="0" fontId="0" fillId="0" borderId="0" xfId="0"/>
    <xf numFmtId="0" fontId="21" fillId="33" borderId="10" xfId="42" applyFill="1" applyBorder="1" applyAlignment="1">
      <alignment horizontal="left" vertical="center" wrapText="1" indent="1"/>
    </xf>
    <xf numFmtId="0" fontId="19" fillId="0" borderId="10" xfId="0" applyFont="1" applyBorder="1" applyAlignment="1">
      <alignment horizontal="center" vertical="center" wrapText="1"/>
    </xf>
    <xf numFmtId="0" fontId="18" fillId="33" borderId="10" xfId="0" applyFont="1" applyFill="1" applyBorder="1" applyAlignment="1">
      <alignment horizontal="left" vertical="center" wrapText="1" indent="1"/>
    </xf>
    <xf numFmtId="0" fontId="19" fillId="34" borderId="10" xfId="0" applyFont="1" applyFill="1" applyBorder="1" applyAlignment="1">
      <alignment horizontal="left" vertical="center" wrapText="1" indent="1"/>
    </xf>
    <xf numFmtId="0" fontId="20" fillId="0" borderId="10" xfId="0" applyFont="1" applyBorder="1" applyAlignment="1">
      <alignment horizontal="left" vertical="center" wrapText="1" indent="1"/>
    </xf>
    <xf numFmtId="0" fontId="18" fillId="33" borderId="11" xfId="0" applyFont="1" applyFill="1" applyBorder="1" applyAlignment="1">
      <alignment horizontal="left" vertical="center" wrapText="1" indent="1"/>
    </xf>
    <xf numFmtId="0" fontId="20" fillId="0" borderId="11" xfId="0" applyFont="1" applyBorder="1" applyAlignment="1">
      <alignment horizontal="left" vertical="center" wrapText="1" indent="1"/>
    </xf>
    <xf numFmtId="0" fontId="20" fillId="35" borderId="12" xfId="0" applyFont="1" applyFill="1" applyBorder="1" applyAlignment="1">
      <alignment vertical="center" wrapText="1"/>
    </xf>
    <xf numFmtId="0" fontId="20" fillId="35" borderId="12" xfId="0" applyFont="1" applyFill="1" applyBorder="1" applyAlignment="1">
      <alignment vertical="center"/>
    </xf>
    <xf numFmtId="0" fontId="19" fillId="34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2" xfId="0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 vertical="center" wrapText="1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3" xfId="42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6" xfId="0" applyFont="1" applyFill="1" applyBorder="1" applyAlignment="1">
      <alignment horizontal="center" vertical="center" wrapText="1"/>
    </xf>
    <xf numFmtId="0" fontId="20" fillId="35" borderId="14" xfId="0" applyFont="1" applyFill="1" applyBorder="1" applyAlignment="1">
      <alignment vertical="center" wrapText="1"/>
    </xf>
    <xf numFmtId="0" fontId="20" fillId="35" borderId="14" xfId="0" applyFont="1" applyFill="1" applyBorder="1" applyAlignment="1">
      <alignment vertical="center"/>
    </xf>
    <xf numFmtId="0" fontId="0" fillId="0" borderId="15" xfId="0" applyBorder="1"/>
    <xf numFmtId="0" fontId="18" fillId="33" borderId="15" xfId="0" applyFont="1" applyFill="1" applyBorder="1" applyAlignment="1">
      <alignment horizontal="left" vertical="center" wrapText="1" indent="1"/>
    </xf>
    <xf numFmtId="0" fontId="19" fillId="36" borderId="15" xfId="0" applyFont="1" applyFill="1" applyBorder="1" applyAlignment="1">
      <alignment horizontal="center" vertical="center" wrapText="1"/>
    </xf>
    <xf numFmtId="0" fontId="21" fillId="36" borderId="15" xfId="42" applyFill="1" applyBorder="1" applyAlignment="1">
      <alignment horizontal="center" vertical="center" wrapText="1"/>
    </xf>
    <xf numFmtId="3" fontId="20" fillId="35" borderId="12" xfId="0" applyNumberFormat="1" applyFont="1" applyFill="1" applyBorder="1" applyAlignment="1">
      <alignment vertical="center" wrapText="1"/>
    </xf>
    <xf numFmtId="3" fontId="20" fillId="36" borderId="12" xfId="0" applyNumberFormat="1" applyFont="1" applyFill="1" applyBorder="1" applyAlignment="1">
      <alignment vertical="center" wrapText="1"/>
    </xf>
    <xf numFmtId="2" fontId="19" fillId="36" borderId="15" xfId="0" applyNumberFormat="1" applyFont="1" applyFill="1" applyBorder="1" applyAlignment="1">
      <alignment horizontal="center" vertical="center" wrapText="1"/>
    </xf>
    <xf numFmtId="0" fontId="20" fillId="35" borderId="12" xfId="0" applyNumberFormat="1" applyFont="1" applyFill="1" applyBorder="1" applyAlignment="1">
      <alignment vertical="center" wrapText="1"/>
    </xf>
    <xf numFmtId="0" fontId="0" fillId="0" borderId="0" xfId="0" applyBorder="1"/>
    <xf numFmtId="0" fontId="18" fillId="33" borderId="0" xfId="0" applyFont="1" applyFill="1" applyBorder="1" applyAlignment="1">
      <alignment horizontal="left" vertical="center" wrapText="1" indent="1"/>
    </xf>
    <xf numFmtId="0" fontId="19" fillId="36" borderId="13" xfId="0" applyFont="1" applyFill="1" applyBorder="1" applyAlignment="1">
      <alignment horizontal="center" vertical="center"/>
    </xf>
    <xf numFmtId="0" fontId="21" fillId="36" borderId="13" xfId="42" applyFill="1" applyBorder="1" applyAlignment="1">
      <alignment horizontal="center" vertical="center"/>
    </xf>
    <xf numFmtId="0" fontId="19" fillId="36" borderId="14" xfId="0" applyFont="1" applyFill="1" applyBorder="1" applyAlignment="1">
      <alignment horizontal="center" vertical="center"/>
    </xf>
    <xf numFmtId="49" fontId="20" fillId="35" borderId="12" xfId="0" applyNumberFormat="1" applyFont="1" applyFill="1" applyBorder="1" applyAlignment="1">
      <alignment vertical="center" wrapText="1"/>
    </xf>
    <xf numFmtId="49" fontId="20" fillId="35" borderId="12" xfId="0" applyNumberFormat="1" applyFont="1" applyFill="1" applyBorder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E1C3D133-8EE8-4E23-ABBD-318B25BCF438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F1629852-5C9D-4499-A777-812695D13E75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5C9D6E79-00DB-4DC1-B429-4D75E7A49221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442DA563-178D-4E7F-8ADB-17BCADD1F1CE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3828057-4787-4CF1-90A9-7DD61D439351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4F9BEBE-FEEB-48BB-AEA7-1B476AAE0792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988CD871-E376-4624-86C8-49757F5CF00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B45194F9-AA9F-4460-BF13-E5F9AB05C779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C864962F-B7E1-4DFC-8547-9EAE2C8D78A5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7D832D97-5EF9-4166-9C92-58B3A810295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3ACA97-125C-4496-9B7E-B49856A027A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D91AD2E3-1C57-41F7-9B71-EA2727FA8A1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FEF8E86-9B1A-4734-9E1A-3E016F4FBF08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5CD2F3-B29C-46EF-BE9E-A53457272F81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65E127F-1824-4C37-B715-20993F0A1535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7A0F912-1903-4F5A-A090-F09C23F7DCDB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E3CEB21-705B-4BCB-9AFF-E7E23D29B5FB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A96DBCEB-1A15-492D-AAD5-F6F14408913C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B354E68E-F16F-42E7-9BF0-9EA0A4740AF2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E42B403-C49B-4E3E-B9C6-A568A146A760}"/>
            </a:ext>
          </a:extLst>
        </xdr:cNvPr>
        <xdr:cNvSpPr>
          <a:spLocks noChangeAspect="1" noChangeArrowheads="1"/>
        </xdr:cNvSpPr>
      </xdr:nvSpPr>
      <xdr:spPr bwMode="auto">
        <a:xfrm>
          <a:off x="908304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5E9B7998-DC33-40B9-BBC3-763F58D3C764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C3267-2617-47D5-A24F-EE752F815F91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7169" name="AutoShape 1" descr="Level">
          <a:extLst>
            <a:ext uri="{FF2B5EF4-FFF2-40B4-BE49-F238E27FC236}">
              <a16:creationId xmlns:a16="http://schemas.microsoft.com/office/drawing/2014/main" id="{5B6BE9EA-F51D-333C-C35B-D4D7FAB113D6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7170" name="AutoShape 2" descr="Damage">
          <a:extLst>
            <a:ext uri="{FF2B5EF4-FFF2-40B4-BE49-F238E27FC236}">
              <a16:creationId xmlns:a16="http://schemas.microsoft.com/office/drawing/2014/main" id="{AE234EB6-7A3C-5DFD-C385-0F97AA0337C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7171" name="AutoShape 3" descr="Damage">
          <a:extLst>
            <a:ext uri="{FF2B5EF4-FFF2-40B4-BE49-F238E27FC236}">
              <a16:creationId xmlns:a16="http://schemas.microsoft.com/office/drawing/2014/main" id="{4866C42D-ADE0-2135-D58B-49208E8271DD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7172" name="AutoShape 4" descr="Hitpoints">
          <a:extLst>
            <a:ext uri="{FF2B5EF4-FFF2-40B4-BE49-F238E27FC236}">
              <a16:creationId xmlns:a16="http://schemas.microsoft.com/office/drawing/2014/main" id="{71C522E7-599C-3F9E-F33F-F45D4731847A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7173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8011935-2F4B-BC39-BF31-AEA81BF5C338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7174" name="AutoShape 6" descr="Time">
          <a:extLst>
            <a:ext uri="{FF2B5EF4-FFF2-40B4-BE49-F238E27FC236}">
              <a16:creationId xmlns:a16="http://schemas.microsoft.com/office/drawing/2014/main" id="{4B8BB51B-882D-4E02-B1D5-353B76227746}"/>
            </a:ext>
          </a:extLst>
        </xdr:cNvPr>
        <xdr:cNvSpPr>
          <a:spLocks noChangeAspect="1" noChangeArrowheads="1"/>
        </xdr:cNvSpPr>
      </xdr:nvSpPr>
      <xdr:spPr bwMode="auto">
        <a:xfrm>
          <a:off x="420624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7175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1615056C-6A23-8A9E-F8F3-CFE80DC22D30}"/>
            </a:ext>
          </a:extLst>
        </xdr:cNvPr>
        <xdr:cNvSpPr>
          <a:spLocks noChangeAspect="1" noChangeArrowheads="1"/>
        </xdr:cNvSpPr>
      </xdr:nvSpPr>
      <xdr:spPr bwMode="auto">
        <a:xfrm>
          <a:off x="481584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AB199BBF-B873-484A-BC8D-EA3C3125F021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39D960-FB2C-4F91-B89D-E5C0B60372B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B27A4B97-D838-47DB-BA26-EC74AAB73BD3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2345089-3584-454E-8BE8-052DA9EECA73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1C77F8C-578E-4489-B5E8-0CCE7694A813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EE188228-C1C1-4296-A06D-E6ACFF6E8A75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AE14E2E-CB9C-4958-B08E-337346EB71FC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D6E4FC9-C9CC-4EED-A271-750B50B4BA4C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39571FD4-36F3-49D2-A22C-E974CCC0CD9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67783437-2BB3-4B96-91A3-F1BE31000630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D702565C-3A1D-480E-A7BA-0082DAB94811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D918FD4-EB03-4F6C-B3EE-B2B06A22745E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925A87-2AB6-479F-B93B-33A19CA97A48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2D62622A-F0A3-4621-B726-11850B5C0478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30E40F-DF12-45C2-B374-FFC5271A0222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0AE22C6-B11E-4281-A42C-60D1E251D8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541DBF95-AB48-481D-AB56-9946B05C87CA}"/>
            </a:ext>
          </a:extLst>
        </xdr:cNvPr>
        <xdr:cNvSpPr>
          <a:spLocks noChangeAspect="1" noChangeArrowheads="1"/>
        </xdr:cNvSpPr>
      </xdr:nvSpPr>
      <xdr:spPr bwMode="auto">
        <a:xfrm>
          <a:off x="852678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74DA04C1-F46A-48C2-A4EA-F57A66946241}"/>
            </a:ext>
          </a:extLst>
        </xdr:cNvPr>
        <xdr:cNvSpPr>
          <a:spLocks noChangeAspect="1" noChangeArrowheads="1"/>
        </xdr:cNvSpPr>
      </xdr:nvSpPr>
      <xdr:spPr bwMode="auto">
        <a:xfrm>
          <a:off x="913638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544EECDF-1F7C-4688-8D07-1E263A920933}"/>
            </a:ext>
          </a:extLst>
        </xdr:cNvPr>
        <xdr:cNvSpPr>
          <a:spLocks noChangeAspect="1" noChangeArrowheads="1"/>
        </xdr:cNvSpPr>
      </xdr:nvSpPr>
      <xdr:spPr bwMode="auto">
        <a:xfrm>
          <a:off x="974598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DD773BB4-A2EC-4CF3-8A5C-9A88DA7CD7AA}"/>
            </a:ext>
          </a:extLst>
        </xdr:cNvPr>
        <xdr:cNvSpPr>
          <a:spLocks noChangeAspect="1" noChangeArrowheads="1"/>
        </xdr:cNvSpPr>
      </xdr:nvSpPr>
      <xdr:spPr bwMode="auto">
        <a:xfrm>
          <a:off x="1035558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3D06613C-190E-4BD8-B35B-D1B181959F9F}"/>
            </a:ext>
          </a:extLst>
        </xdr:cNvPr>
        <xdr:cNvSpPr>
          <a:spLocks noChangeAspect="1" noChangeArrowheads="1"/>
        </xdr:cNvSpPr>
      </xdr:nvSpPr>
      <xdr:spPr bwMode="auto">
        <a:xfrm>
          <a:off x="746760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3" name="AutoShape 9" descr="Level">
          <a:extLst>
            <a:ext uri="{FF2B5EF4-FFF2-40B4-BE49-F238E27FC236}">
              <a16:creationId xmlns:a16="http://schemas.microsoft.com/office/drawing/2014/main" id="{AED899D7-5C58-467B-B795-F1A099AAF4E5}"/>
            </a:ext>
          </a:extLst>
        </xdr:cNvPr>
        <xdr:cNvSpPr>
          <a:spLocks noChangeAspect="1" noChangeArrowheads="1"/>
        </xdr:cNvSpPr>
      </xdr:nvSpPr>
      <xdr:spPr bwMode="auto">
        <a:xfrm>
          <a:off x="975360" y="92964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24" name="AutoShape 10" descr="Hitpoints">
          <a:extLst>
            <a:ext uri="{FF2B5EF4-FFF2-40B4-BE49-F238E27FC236}">
              <a16:creationId xmlns:a16="http://schemas.microsoft.com/office/drawing/2014/main" id="{9ADBF091-15C9-4125-ABFD-C7512960976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92964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25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5C8E58D-5298-4544-980A-D9196FBF94FD}"/>
            </a:ext>
          </a:extLst>
        </xdr:cNvPr>
        <xdr:cNvSpPr>
          <a:spLocks noChangeAspect="1" noChangeArrowheads="1"/>
        </xdr:cNvSpPr>
      </xdr:nvSpPr>
      <xdr:spPr bwMode="auto">
        <a:xfrm>
          <a:off x="196596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26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2EAD5868-24EE-46FF-8EA1-89518CAB52B6}"/>
            </a:ext>
          </a:extLst>
        </xdr:cNvPr>
        <xdr:cNvSpPr>
          <a:spLocks noChangeAspect="1" noChangeArrowheads="1"/>
        </xdr:cNvSpPr>
      </xdr:nvSpPr>
      <xdr:spPr bwMode="auto">
        <a:xfrm>
          <a:off x="255270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27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8B2B8864-3D34-4CCC-90F7-66FE03D8B802}"/>
            </a:ext>
          </a:extLst>
        </xdr:cNvPr>
        <xdr:cNvSpPr>
          <a:spLocks noChangeAspect="1" noChangeArrowheads="1"/>
        </xdr:cNvSpPr>
      </xdr:nvSpPr>
      <xdr:spPr bwMode="auto">
        <a:xfrm>
          <a:off x="361188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28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DCC8336-5A94-4B8E-B065-8CBAF1B08DC9}"/>
            </a:ext>
          </a:extLst>
        </xdr:cNvPr>
        <xdr:cNvSpPr>
          <a:spLocks noChangeAspect="1" noChangeArrowheads="1"/>
        </xdr:cNvSpPr>
      </xdr:nvSpPr>
      <xdr:spPr bwMode="auto">
        <a:xfrm>
          <a:off x="430530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29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C4F7AF5D-E280-4919-8C4A-4D76EAB7EDB7}"/>
            </a:ext>
          </a:extLst>
        </xdr:cNvPr>
        <xdr:cNvSpPr>
          <a:spLocks noChangeAspect="1" noChangeArrowheads="1"/>
        </xdr:cNvSpPr>
      </xdr:nvSpPr>
      <xdr:spPr bwMode="auto">
        <a:xfrm>
          <a:off x="5364480" y="92964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30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9F4CFDC-7E8E-4F99-91F0-9FA3ECC8E6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92964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31" name="AutoShape 17" descr="Level">
          <a:extLst>
            <a:ext uri="{FF2B5EF4-FFF2-40B4-BE49-F238E27FC236}">
              <a16:creationId xmlns:a16="http://schemas.microsoft.com/office/drawing/2014/main" id="{28770A2B-0D6E-4EFB-B238-47EB4C644BF9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32" name="AutoShape 18" descr="Hitpoints">
          <a:extLst>
            <a:ext uri="{FF2B5EF4-FFF2-40B4-BE49-F238E27FC236}">
              <a16:creationId xmlns:a16="http://schemas.microsoft.com/office/drawing/2014/main" id="{BAD5A04E-B8D8-4C3B-859B-7F758B0D45DB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3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33350DD-28A8-4355-A54A-EBB0A9640A9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4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9ED60AB-ABA0-4129-9740-3BCDD94361B8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5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3014EE3-D6EA-4832-A0DC-FFB0389E1DC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6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37D7CBB-7B5D-4979-913E-B3E98211F7AB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37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041F9B4-9D3F-4370-9764-8260B778267C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38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0540ABE-928A-47DE-90A7-0F27372B269E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39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20698D1-C8C5-4F34-BB5E-53AC7F6175AE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40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E9A4DBE-C52A-415B-82A8-7C24E8C5D8DB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45" name="AutoShape 1" descr="Level">
          <a:extLst>
            <a:ext uri="{FF2B5EF4-FFF2-40B4-BE49-F238E27FC236}">
              <a16:creationId xmlns:a16="http://schemas.microsoft.com/office/drawing/2014/main" id="{F7DBD962-FB64-9298-E180-8A07057F253A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46" name="AutoShape 2" descr="Hitpoints">
          <a:extLst>
            <a:ext uri="{FF2B5EF4-FFF2-40B4-BE49-F238E27FC236}">
              <a16:creationId xmlns:a16="http://schemas.microsoft.com/office/drawing/2014/main" id="{32CB38F5-64DB-A8CF-952E-72D96CFF62A8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47" name="AutoShape 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0DA5E70-D67A-2CF6-8420-3CC2970CE280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48" name="AutoShape 4" descr="Time">
          <a:extLst>
            <a:ext uri="{FF2B5EF4-FFF2-40B4-BE49-F238E27FC236}">
              <a16:creationId xmlns:a16="http://schemas.microsoft.com/office/drawing/2014/main" id="{3B6376E9-BEAD-48D8-A11B-AD24BE3C1E3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49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C27EEFC-D791-33FB-CB6A-BCA867AB4D73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55" name="AutoShape 11" descr="Level">
          <a:extLst>
            <a:ext uri="{FF2B5EF4-FFF2-40B4-BE49-F238E27FC236}">
              <a16:creationId xmlns:a16="http://schemas.microsoft.com/office/drawing/2014/main" id="{32D844E6-D5D7-159B-EE83-1E93572A4D72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56" name="AutoShape 12" descr="Hitpoints">
          <a:extLst>
            <a:ext uri="{FF2B5EF4-FFF2-40B4-BE49-F238E27FC236}">
              <a16:creationId xmlns:a16="http://schemas.microsoft.com/office/drawing/2014/main" id="{72AD8579-952F-5F1B-F84D-F4F17FB1F85B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57" name="AutoShape 1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83E9533-D361-B2CE-CCEC-3D435533B019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58" name="AutoShape 14" descr="Time">
          <a:extLst>
            <a:ext uri="{FF2B5EF4-FFF2-40B4-BE49-F238E27FC236}">
              <a16:creationId xmlns:a16="http://schemas.microsoft.com/office/drawing/2014/main" id="{23DAA8CC-B6D9-B49B-44F7-ADB4B80C89E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59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6A19E27-D014-3F2A-280A-5A7B73B7F40B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160020</xdr:colOff>
      <xdr:row>12</xdr:row>
      <xdr:rowOff>175260</xdr:rowOff>
    </xdr:to>
    <xdr:sp macro="" textlink="">
      <xdr:nvSpPr>
        <xdr:cNvPr id="6160" name="AutoShape 16" descr="Level">
          <a:extLst>
            <a:ext uri="{FF2B5EF4-FFF2-40B4-BE49-F238E27FC236}">
              <a16:creationId xmlns:a16="http://schemas.microsoft.com/office/drawing/2014/main" id="{B8A75D3C-D59F-4DCD-7587-A084E76459D4}"/>
            </a:ext>
          </a:extLst>
        </xdr:cNvPr>
        <xdr:cNvSpPr>
          <a:spLocks noChangeAspect="1" noChangeArrowheads="1"/>
        </xdr:cNvSpPr>
      </xdr:nvSpPr>
      <xdr:spPr bwMode="auto">
        <a:xfrm>
          <a:off x="17655540" y="3573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12</xdr:row>
      <xdr:rowOff>0</xdr:rowOff>
    </xdr:from>
    <xdr:to>
      <xdr:col>29</xdr:col>
      <xdr:colOff>190500</xdr:colOff>
      <xdr:row>12</xdr:row>
      <xdr:rowOff>175260</xdr:rowOff>
    </xdr:to>
    <xdr:sp macro="" textlink="">
      <xdr:nvSpPr>
        <xdr:cNvPr id="6161" name="AutoShape 17" descr="Hitpoints">
          <a:extLst>
            <a:ext uri="{FF2B5EF4-FFF2-40B4-BE49-F238E27FC236}">
              <a16:creationId xmlns:a16="http://schemas.microsoft.com/office/drawing/2014/main" id="{005ABAE7-A405-C73A-7C37-4AA473D7AC71}"/>
            </a:ext>
          </a:extLst>
        </xdr:cNvPr>
        <xdr:cNvSpPr>
          <a:spLocks noChangeAspect="1" noChangeArrowheads="1"/>
        </xdr:cNvSpPr>
      </xdr:nvSpPr>
      <xdr:spPr bwMode="auto">
        <a:xfrm>
          <a:off x="18265140" y="3573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12</xdr:row>
      <xdr:rowOff>0</xdr:rowOff>
    </xdr:from>
    <xdr:to>
      <xdr:col>30</xdr:col>
      <xdr:colOff>190500</xdr:colOff>
      <xdr:row>13</xdr:row>
      <xdr:rowOff>0</xdr:rowOff>
    </xdr:to>
    <xdr:sp macro="" textlink="">
      <xdr:nvSpPr>
        <xdr:cNvPr id="6162" name="AutoShape 18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15F1372-F90D-3EE8-F6A9-8B1E03C2C717}"/>
            </a:ext>
          </a:extLst>
        </xdr:cNvPr>
        <xdr:cNvSpPr>
          <a:spLocks noChangeAspect="1" noChangeArrowheads="1"/>
        </xdr:cNvSpPr>
      </xdr:nvSpPr>
      <xdr:spPr bwMode="auto">
        <a:xfrm>
          <a:off x="18874740" y="3573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12</xdr:row>
      <xdr:rowOff>0</xdr:rowOff>
    </xdr:from>
    <xdr:to>
      <xdr:col>31</xdr:col>
      <xdr:colOff>175260</xdr:colOff>
      <xdr:row>13</xdr:row>
      <xdr:rowOff>7620</xdr:rowOff>
    </xdr:to>
    <xdr:sp macro="" textlink="">
      <xdr:nvSpPr>
        <xdr:cNvPr id="6163" name="AutoShape 19" descr="Time">
          <a:extLst>
            <a:ext uri="{FF2B5EF4-FFF2-40B4-BE49-F238E27FC236}">
              <a16:creationId xmlns:a16="http://schemas.microsoft.com/office/drawing/2014/main" id="{CB6947D3-B30A-8A63-0ED8-4600F0EE142F}"/>
            </a:ext>
          </a:extLst>
        </xdr:cNvPr>
        <xdr:cNvSpPr>
          <a:spLocks noChangeAspect="1" noChangeArrowheads="1"/>
        </xdr:cNvSpPr>
      </xdr:nvSpPr>
      <xdr:spPr bwMode="auto">
        <a:xfrm>
          <a:off x="19484340" y="3573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12</xdr:row>
      <xdr:rowOff>0</xdr:rowOff>
    </xdr:from>
    <xdr:to>
      <xdr:col>32</xdr:col>
      <xdr:colOff>213360</xdr:colOff>
      <xdr:row>13</xdr:row>
      <xdr:rowOff>30480</xdr:rowOff>
    </xdr:to>
    <xdr:sp macro="" textlink="">
      <xdr:nvSpPr>
        <xdr:cNvPr id="6164" name="AutoShape 20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DFAA6D2-5BE9-30EB-C617-A0FC1DC2D22F}"/>
            </a:ext>
          </a:extLst>
        </xdr:cNvPr>
        <xdr:cNvSpPr>
          <a:spLocks noChangeAspect="1" noChangeArrowheads="1"/>
        </xdr:cNvSpPr>
      </xdr:nvSpPr>
      <xdr:spPr bwMode="auto">
        <a:xfrm>
          <a:off x="20093940" y="3573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65" name="AutoShape 21" descr="Level">
          <a:extLst>
            <a:ext uri="{FF2B5EF4-FFF2-40B4-BE49-F238E27FC236}">
              <a16:creationId xmlns:a16="http://schemas.microsoft.com/office/drawing/2014/main" id="{7000854A-E9D7-289E-76EF-99FDF1604CED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66" name="AutoShape 22" descr="Hitpoints">
          <a:extLst>
            <a:ext uri="{FF2B5EF4-FFF2-40B4-BE49-F238E27FC236}">
              <a16:creationId xmlns:a16="http://schemas.microsoft.com/office/drawing/2014/main" id="{CCD34EF1-A4D5-F305-D72E-195F55332CB1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67" name="AutoShape 2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2ED2855-6B2C-4E76-E592-80809A1EC14C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68" name="AutoShape 24" descr="Time">
          <a:extLst>
            <a:ext uri="{FF2B5EF4-FFF2-40B4-BE49-F238E27FC236}">
              <a16:creationId xmlns:a16="http://schemas.microsoft.com/office/drawing/2014/main" id="{56764EE0-6B8C-7BFE-67BD-790521069F80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69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D7086BA-7273-A3E2-1034-88F226217AF6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1" name="AutoShape 4" descr="Time">
          <a:extLst>
            <a:ext uri="{FF2B5EF4-FFF2-40B4-BE49-F238E27FC236}">
              <a16:creationId xmlns:a16="http://schemas.microsoft.com/office/drawing/2014/main" id="{8D9579F6-E5E8-4CE7-9D87-CAD5797241DC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2" name="AutoShape 14" descr="Time">
          <a:extLst>
            <a:ext uri="{FF2B5EF4-FFF2-40B4-BE49-F238E27FC236}">
              <a16:creationId xmlns:a16="http://schemas.microsoft.com/office/drawing/2014/main" id="{E7C008DF-E8EE-4870-8CA3-A4FF88759C38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3" name="AutoShape 24" descr="Time">
          <a:extLst>
            <a:ext uri="{FF2B5EF4-FFF2-40B4-BE49-F238E27FC236}">
              <a16:creationId xmlns:a16="http://schemas.microsoft.com/office/drawing/2014/main" id="{5B483B1F-28E1-40B8-A6C3-8880F89625BA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4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D48A8E-4E95-48FE-9B79-867ECD41982E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5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6EA1CF5F-C297-4087-BEF5-449D17613CA4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6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2FBE560-2E06-4559-8CEE-524B7F1794F7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FCFBE453-5FFF-49E9-B0B1-AA447DD5BD3A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FEFE79-4EA4-4112-A3E4-1184D04845E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9BE0CFCE-C41B-46C6-B833-2DB7437D1193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F64E606E-2D23-48E4-B69D-2F8C4E3C97E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4235908B-A1CC-4C13-A94B-B1210445B244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D44EBE0-ACD3-42DA-99E1-8440AFC56339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B2F292B-49E3-49EC-B9FA-EE16A8367594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7CE37BB-14DA-41D7-9077-354D69921F4E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B175A910-43B8-43C1-AD81-0420C3788781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934C1CE9-76A1-40E0-B447-3B1EF7CD76E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3AFF534C-9363-4242-9728-4DF4DE6C817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2DD4C963-53D6-4A63-9B9C-7A607CED799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CF4A32-9B98-49CC-B8A2-3C0A9EA23849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8F15AF1A-6E08-469F-8B5E-C3DACBAEA8CB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8FC6ABB-9906-460C-AC5D-13E894C08BC3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4AC3501-D175-4D95-9962-E5731DF4FA2A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D94DFD3B-A3D3-4196-B2C0-FCEAC5AFEC35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1202C5DA-D637-4F29-8A81-3E96A649C811}"/>
            </a:ext>
          </a:extLst>
        </xdr:cNvPr>
        <xdr:cNvSpPr>
          <a:spLocks noChangeAspect="1" noChangeArrowheads="1"/>
        </xdr:cNvSpPr>
      </xdr:nvSpPr>
      <xdr:spPr bwMode="auto">
        <a:xfrm>
          <a:off x="794766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89502CF8-4445-45F7-99FD-BEB4D0B95308}"/>
            </a:ext>
          </a:extLst>
        </xdr:cNvPr>
        <xdr:cNvSpPr>
          <a:spLocks noChangeAspect="1" noChangeArrowheads="1"/>
        </xdr:cNvSpPr>
      </xdr:nvSpPr>
      <xdr:spPr bwMode="auto">
        <a:xfrm>
          <a:off x="855726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0B35F65A-CC39-4167-B26B-C42918840A5B}"/>
            </a:ext>
          </a:extLst>
        </xdr:cNvPr>
        <xdr:cNvSpPr>
          <a:spLocks noChangeAspect="1" noChangeArrowheads="1"/>
        </xdr:cNvSpPr>
      </xdr:nvSpPr>
      <xdr:spPr bwMode="auto">
        <a:xfrm>
          <a:off x="916686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B0484BB9-4873-4F12-89C0-6674BADE71D0}"/>
            </a:ext>
          </a:extLst>
        </xdr:cNvPr>
        <xdr:cNvSpPr>
          <a:spLocks noChangeAspect="1" noChangeArrowheads="1"/>
        </xdr:cNvSpPr>
      </xdr:nvSpPr>
      <xdr:spPr bwMode="auto">
        <a:xfrm>
          <a:off x="611886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5129" name="AutoShape 9" descr="Level">
          <a:extLst>
            <a:ext uri="{FF2B5EF4-FFF2-40B4-BE49-F238E27FC236}">
              <a16:creationId xmlns:a16="http://schemas.microsoft.com/office/drawing/2014/main" id="{6F95DF4B-B8B8-0736-3D5C-73B27185F169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5130" name="AutoShape 10" descr="Hitpoints">
          <a:extLst>
            <a:ext uri="{FF2B5EF4-FFF2-40B4-BE49-F238E27FC236}">
              <a16:creationId xmlns:a16="http://schemas.microsoft.com/office/drawing/2014/main" id="{1BBF3725-7C86-6F05-0E2F-C8C86D62426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5131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FDB31DD-2BB3-4AEB-A0DA-958362C6303A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5132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711663-0E60-9DDF-4FB8-7E28468905E8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5133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FDCE10C-B065-4408-3F22-1DB175FC7CC0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5134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61DF097-3C9E-F324-0400-E9E621FEA32E}"/>
            </a:ext>
          </a:extLst>
        </xdr:cNvPr>
        <xdr:cNvSpPr>
          <a:spLocks noChangeAspect="1" noChangeArrowheads="1"/>
        </xdr:cNvSpPr>
      </xdr:nvSpPr>
      <xdr:spPr bwMode="auto">
        <a:xfrm>
          <a:off x="429006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5135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35DFD8FF-EC5C-1805-C0D9-595FF19E1DE6}"/>
            </a:ext>
          </a:extLst>
        </xdr:cNvPr>
        <xdr:cNvSpPr>
          <a:spLocks noChangeAspect="1" noChangeArrowheads="1"/>
        </xdr:cNvSpPr>
      </xdr:nvSpPr>
      <xdr:spPr bwMode="auto">
        <a:xfrm>
          <a:off x="4899660" y="93726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5136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AEA1871-FA25-F01A-D9D1-B8481E6E8839}"/>
            </a:ext>
          </a:extLst>
        </xdr:cNvPr>
        <xdr:cNvSpPr>
          <a:spLocks noChangeAspect="1" noChangeArrowheads="1"/>
        </xdr:cNvSpPr>
      </xdr:nvSpPr>
      <xdr:spPr bwMode="auto">
        <a:xfrm>
          <a:off x="5509260" y="9372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5137" name="AutoShape 17" descr="Level">
          <a:extLst>
            <a:ext uri="{FF2B5EF4-FFF2-40B4-BE49-F238E27FC236}">
              <a16:creationId xmlns:a16="http://schemas.microsoft.com/office/drawing/2014/main" id="{27324C3B-6A3A-B010-3D20-2B1FA8E88DEF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5138" name="AutoShape 18" descr="Hitpoints">
          <a:extLst>
            <a:ext uri="{FF2B5EF4-FFF2-40B4-BE49-F238E27FC236}">
              <a16:creationId xmlns:a16="http://schemas.microsoft.com/office/drawing/2014/main" id="{A679ED43-3D09-9A43-20D2-894E28879BC3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39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EE19A3E-5172-1A3F-6E07-172296387110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40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5C169F-618E-EC5E-7A75-C7B1DBE414E9}"/>
            </a:ext>
          </a:extLst>
        </xdr:cNvPr>
        <xdr:cNvSpPr>
          <a:spLocks noChangeAspect="1" noChangeArrowheads="1"/>
        </xdr:cNvSpPr>
      </xdr:nvSpPr>
      <xdr:spPr bwMode="auto">
        <a:xfrm>
          <a:off x="267995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1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A037060A-A3C1-91E3-CB79-19275B2FE581}"/>
            </a:ext>
          </a:extLst>
        </xdr:cNvPr>
        <xdr:cNvSpPr>
          <a:spLocks noChangeAspect="1" noChangeArrowheads="1"/>
        </xdr:cNvSpPr>
      </xdr:nvSpPr>
      <xdr:spPr bwMode="auto">
        <a:xfrm>
          <a:off x="274091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2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1CA8969C-2303-65A8-BA5F-2AF562FEE790}"/>
            </a:ext>
          </a:extLst>
        </xdr:cNvPr>
        <xdr:cNvSpPr>
          <a:spLocks noChangeAspect="1" noChangeArrowheads="1"/>
        </xdr:cNvSpPr>
      </xdr:nvSpPr>
      <xdr:spPr bwMode="auto">
        <a:xfrm>
          <a:off x="280187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514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72EDE8C-6A5B-530C-6B47-D0D39CF4121E}"/>
            </a:ext>
          </a:extLst>
        </xdr:cNvPr>
        <xdr:cNvSpPr>
          <a:spLocks noChangeAspect="1" noChangeArrowheads="1"/>
        </xdr:cNvSpPr>
      </xdr:nvSpPr>
      <xdr:spPr bwMode="auto">
        <a:xfrm>
          <a:off x="286283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514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89DC6CE5-3813-E83F-ED00-96EE34CFE5D6}"/>
            </a:ext>
          </a:extLst>
        </xdr:cNvPr>
        <xdr:cNvSpPr>
          <a:spLocks noChangeAspect="1" noChangeArrowheads="1"/>
        </xdr:cNvSpPr>
      </xdr:nvSpPr>
      <xdr:spPr bwMode="auto">
        <a:xfrm>
          <a:off x="29237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2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A183CEA-5C64-4F45-B891-04AF6D7156C2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2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623036D-4B12-460A-A511-99F76EF0045A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0674C7B-BF8E-4DA8-94C6-9BBE7010DEFD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736D4203-89DD-42F5-9153-EA5BD045B87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DD22D101-F2CD-4E2F-B4DB-F1689615CA8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9CDC99C6-C3A8-4832-A58C-614E3E7E47A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9732B9C-6C19-4222-A80E-073FAAADD5B3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A465409-CFBB-4179-BC22-CD446B3AB9E0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E47A264-350E-423D-84A5-9148E4A88B3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D58E467-1524-4FB3-891D-7191A9401F7D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AE247D23-A563-4EFB-A77F-B03B79A262E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3F577168-229F-4C2E-B71B-96EB81EB833E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C424EE-46AA-4EBF-B856-C2AFD1A06C9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E1CCB4F-2719-430F-920D-216296F81DC6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9989FFE-E496-4230-861B-9DBB22C8DEA6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A05486-D55F-48C1-B0C7-2C7E38887D7B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4EBB3AB-286E-490D-B600-2947D1D15BE3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F7B9FFB-9951-48C7-A17C-B6ACBF714ECA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1F86F31-1F62-4CD0-9BBA-6077ACF881DE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0524D65-A020-4383-87DE-81C6FB02D86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422203FD-CA08-4590-9E15-E86823B9F8FB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F5745F97-D99A-4DAE-A0E6-E6F54B54C1EE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E7E888B-53E6-4004-8350-8A658D362AC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A2618C2-D7A9-4BBC-B830-4E6B25630AC7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BDB0F8DE-96C1-43AA-B51E-6DE7C416F7B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26250BFE-13FB-4D84-9F14-448A866C821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089A80A-DD81-4181-BE27-5AC23F08541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56BC7C6-3A17-409A-9B49-C19343673B7B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B4B66616-0DB7-44C3-91A3-52B836CC50A5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22D53FD8-5527-477D-AEB0-1C1CE241D64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18AD533-325E-42CE-836E-4ECCA0EDAD6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2B334C10-2C24-4230-90CF-2530A44488FF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4F4BD367-AB43-4146-9BE4-07576F65DAF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BE6C93AC-5F1B-49B1-B48D-006872263F6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4E93C8BC-F211-4BAC-B9B6-4D5290DFD76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B850250-A78B-4097-8ED6-4603D547602E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67ACA122-3DD8-407F-A617-31FDB161E62D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E4A22D00-5498-423F-BBB1-F77A9695F29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768A6DBC-1A74-44EF-8DD7-94DAF2DE15E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9A7E843A-54A9-4312-A8C1-69BB3B9DDB19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D3D2DEB-34B9-4C28-86AD-9392B6B7A305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E670FB1D-A96F-44BF-9573-4B29B81D7616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8186C7A-FA3A-44E4-BB3F-2F5ED937F4A8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21FD9B4B-2EAC-43E4-BC95-F4F056268AD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23B77-A104-455C-894E-A403F223B5E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4" name="AutoShape 18" descr="Range">
          <a:extLst>
            <a:ext uri="{FF2B5EF4-FFF2-40B4-BE49-F238E27FC236}">
              <a16:creationId xmlns:a16="http://schemas.microsoft.com/office/drawing/2014/main" id="{381B50FB-A129-4E33-AE50-F5ED47FA22B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049" name="AutoShape 1" descr="Size">
          <a:extLst>
            <a:ext uri="{FF2B5EF4-FFF2-40B4-BE49-F238E27FC236}">
              <a16:creationId xmlns:a16="http://schemas.microsoft.com/office/drawing/2014/main" id="{96231B7C-2DFB-E3F0-19E0-9ADD79B07DF9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1" name="AutoShape 3" descr="Damage">
          <a:extLst>
            <a:ext uri="{FF2B5EF4-FFF2-40B4-BE49-F238E27FC236}">
              <a16:creationId xmlns:a16="http://schemas.microsoft.com/office/drawing/2014/main" id="{283EF612-3F4F-7F5E-750F-866CCFBC585B}"/>
            </a:ext>
          </a:extLst>
        </xdr:cNvPr>
        <xdr:cNvSpPr>
          <a:spLocks noChangeAspect="1" noChangeArrowheads="1"/>
        </xdr:cNvSpPr>
      </xdr:nvSpPr>
      <xdr:spPr bwMode="auto">
        <a:xfrm>
          <a:off x="7924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52" name="AutoShape 4" descr="Damage">
          <a:extLst>
            <a:ext uri="{FF2B5EF4-FFF2-40B4-BE49-F238E27FC236}">
              <a16:creationId xmlns:a16="http://schemas.microsoft.com/office/drawing/2014/main" id="{941C3E1C-2460-D4A7-5DF6-06A03F20BA51}"/>
            </a:ext>
          </a:extLst>
        </xdr:cNvPr>
        <xdr:cNvSpPr>
          <a:spLocks noChangeAspect="1" noChangeArrowheads="1"/>
        </xdr:cNvSpPr>
      </xdr:nvSpPr>
      <xdr:spPr bwMode="auto">
        <a:xfrm>
          <a:off x="14020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53" name="AutoShape 5" descr="Hitpoints">
          <a:extLst>
            <a:ext uri="{FF2B5EF4-FFF2-40B4-BE49-F238E27FC236}">
              <a16:creationId xmlns:a16="http://schemas.microsoft.com/office/drawing/2014/main" id="{9D9314CA-3170-5634-316A-978665BD443C}"/>
            </a:ext>
          </a:extLst>
        </xdr:cNvPr>
        <xdr:cNvSpPr>
          <a:spLocks noChangeAspect="1" noChangeArrowheads="1"/>
        </xdr:cNvSpPr>
      </xdr:nvSpPr>
      <xdr:spPr bwMode="auto">
        <a:xfrm>
          <a:off x="2011680" y="16459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54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F32C88B9-43B4-1D40-F34D-19BBCF00C2C5}"/>
            </a:ext>
          </a:extLst>
        </xdr:cNvPr>
        <xdr:cNvSpPr>
          <a:spLocks noChangeAspect="1" noChangeArrowheads="1"/>
        </xdr:cNvSpPr>
      </xdr:nvSpPr>
      <xdr:spPr bwMode="auto">
        <a:xfrm>
          <a:off x="2621280" y="16459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55" name="AutoShape 7" descr="Time">
          <a:extLst>
            <a:ext uri="{FF2B5EF4-FFF2-40B4-BE49-F238E27FC236}">
              <a16:creationId xmlns:a16="http://schemas.microsoft.com/office/drawing/2014/main" id="{254B8E10-C1FF-730A-7017-2FDC644D0B48}"/>
            </a:ext>
          </a:extLst>
        </xdr:cNvPr>
        <xdr:cNvSpPr>
          <a:spLocks noChangeAspect="1" noChangeArrowheads="1"/>
        </xdr:cNvSpPr>
      </xdr:nvSpPr>
      <xdr:spPr bwMode="auto">
        <a:xfrm>
          <a:off x="3230880" y="16459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56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67D3127-398B-7552-1596-13F312A5A989}"/>
            </a:ext>
          </a:extLst>
        </xdr:cNvPr>
        <xdr:cNvSpPr>
          <a:spLocks noChangeAspect="1" noChangeArrowheads="1"/>
        </xdr:cNvSpPr>
      </xdr:nvSpPr>
      <xdr:spPr bwMode="auto">
        <a:xfrm>
          <a:off x="3840480" y="16459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57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C762934-CF29-0419-3939-ED0D31B695C4}"/>
            </a:ext>
          </a:extLst>
        </xdr:cNvPr>
        <xdr:cNvSpPr>
          <a:spLocks noChangeAspect="1" noChangeArrowheads="1"/>
        </xdr:cNvSpPr>
      </xdr:nvSpPr>
      <xdr:spPr bwMode="auto">
        <a:xfrm>
          <a:off x="4450080" y="164592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2058" name="AutoShape 10" descr="Level">
          <a:extLst>
            <a:ext uri="{FF2B5EF4-FFF2-40B4-BE49-F238E27FC236}">
              <a16:creationId xmlns:a16="http://schemas.microsoft.com/office/drawing/2014/main" id="{39DAA22D-360E-5C57-7CF9-2DB67A39A602}"/>
            </a:ext>
          </a:extLst>
        </xdr:cNvPr>
        <xdr:cNvSpPr>
          <a:spLocks noChangeAspect="1" noChangeArrowheads="1"/>
        </xdr:cNvSpPr>
      </xdr:nvSpPr>
      <xdr:spPr bwMode="auto">
        <a:xfrm>
          <a:off x="0" y="21945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9" name="AutoShape 11" descr="Damage">
          <a:extLst>
            <a:ext uri="{FF2B5EF4-FFF2-40B4-BE49-F238E27FC236}">
              <a16:creationId xmlns:a16="http://schemas.microsoft.com/office/drawing/2014/main" id="{E645C9B7-1944-594F-2402-786521A39C0B}"/>
            </a:ext>
          </a:extLst>
        </xdr:cNvPr>
        <xdr:cNvSpPr>
          <a:spLocks noChangeAspect="1" noChangeArrowheads="1"/>
        </xdr:cNvSpPr>
      </xdr:nvSpPr>
      <xdr:spPr bwMode="auto">
        <a:xfrm>
          <a:off x="7924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60" name="AutoShape 12" descr="Damage">
          <a:extLst>
            <a:ext uri="{FF2B5EF4-FFF2-40B4-BE49-F238E27FC236}">
              <a16:creationId xmlns:a16="http://schemas.microsoft.com/office/drawing/2014/main" id="{345D477E-C6CE-1300-F7A4-DA3E86B1CE0F}"/>
            </a:ext>
          </a:extLst>
        </xdr:cNvPr>
        <xdr:cNvSpPr>
          <a:spLocks noChangeAspect="1" noChangeArrowheads="1"/>
        </xdr:cNvSpPr>
      </xdr:nvSpPr>
      <xdr:spPr bwMode="auto">
        <a:xfrm>
          <a:off x="14020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61" name="AutoShape 13" descr="Hitpoints">
          <a:extLst>
            <a:ext uri="{FF2B5EF4-FFF2-40B4-BE49-F238E27FC236}">
              <a16:creationId xmlns:a16="http://schemas.microsoft.com/office/drawing/2014/main" id="{60DF727D-1994-83B9-7675-9873B515ED3D}"/>
            </a:ext>
          </a:extLst>
        </xdr:cNvPr>
        <xdr:cNvSpPr>
          <a:spLocks noChangeAspect="1" noChangeArrowheads="1"/>
        </xdr:cNvSpPr>
      </xdr:nvSpPr>
      <xdr:spPr bwMode="auto">
        <a:xfrm>
          <a:off x="2011680" y="2194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62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240438F-AE16-C17B-9974-BAE5B0BAD022}"/>
            </a:ext>
          </a:extLst>
        </xdr:cNvPr>
        <xdr:cNvSpPr>
          <a:spLocks noChangeAspect="1" noChangeArrowheads="1"/>
        </xdr:cNvSpPr>
      </xdr:nvSpPr>
      <xdr:spPr bwMode="auto">
        <a:xfrm>
          <a:off x="2621280" y="21945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63" name="AutoShape 15" descr="Time">
          <a:extLst>
            <a:ext uri="{FF2B5EF4-FFF2-40B4-BE49-F238E27FC236}">
              <a16:creationId xmlns:a16="http://schemas.microsoft.com/office/drawing/2014/main" id="{D4414947-68E9-D10C-9A3C-CA9C2A4EB4A9}"/>
            </a:ext>
          </a:extLst>
        </xdr:cNvPr>
        <xdr:cNvSpPr>
          <a:spLocks noChangeAspect="1" noChangeArrowheads="1"/>
        </xdr:cNvSpPr>
      </xdr:nvSpPr>
      <xdr:spPr bwMode="auto">
        <a:xfrm>
          <a:off x="3230880" y="21945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64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89359DE-DC5D-DA44-23E9-E3D026649357}"/>
            </a:ext>
          </a:extLst>
        </xdr:cNvPr>
        <xdr:cNvSpPr>
          <a:spLocks noChangeAspect="1" noChangeArrowheads="1"/>
        </xdr:cNvSpPr>
      </xdr:nvSpPr>
      <xdr:spPr bwMode="auto">
        <a:xfrm>
          <a:off x="3840480" y="21945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65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E0EDDFB-2287-2A30-C80B-B7F93F4118BE}"/>
            </a:ext>
          </a:extLst>
        </xdr:cNvPr>
        <xdr:cNvSpPr>
          <a:spLocks noChangeAspect="1" noChangeArrowheads="1"/>
        </xdr:cNvSpPr>
      </xdr:nvSpPr>
      <xdr:spPr bwMode="auto">
        <a:xfrm>
          <a:off x="4450080" y="2194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66" name="AutoShape 18" descr="Range">
          <a:extLst>
            <a:ext uri="{FF2B5EF4-FFF2-40B4-BE49-F238E27FC236}">
              <a16:creationId xmlns:a16="http://schemas.microsoft.com/office/drawing/2014/main" id="{C04DEBEF-6544-8BBB-99B3-338F6795684B}"/>
            </a:ext>
          </a:extLst>
        </xdr:cNvPr>
        <xdr:cNvSpPr>
          <a:spLocks noChangeAspect="1" noChangeArrowheads="1"/>
        </xdr:cNvSpPr>
      </xdr:nvSpPr>
      <xdr:spPr bwMode="auto">
        <a:xfrm>
          <a:off x="0" y="77952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2067" name="AutoShape 19" descr="Attack Speed">
          <a:extLst>
            <a:ext uri="{FF2B5EF4-FFF2-40B4-BE49-F238E27FC236}">
              <a16:creationId xmlns:a16="http://schemas.microsoft.com/office/drawing/2014/main" id="{99A55E84-77E5-152A-6A37-BC59999EB7F2}"/>
            </a:ext>
          </a:extLst>
        </xdr:cNvPr>
        <xdr:cNvSpPr>
          <a:spLocks noChangeAspect="1" noChangeArrowheads="1"/>
        </xdr:cNvSpPr>
      </xdr:nvSpPr>
      <xdr:spPr bwMode="auto">
        <a:xfrm>
          <a:off x="792480" y="77952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68" name="AutoShape 20" descr="Damage Type">
          <a:extLst>
            <a:ext uri="{FF2B5EF4-FFF2-40B4-BE49-F238E27FC236}">
              <a16:creationId xmlns:a16="http://schemas.microsoft.com/office/drawing/2014/main" id="{C58ACB50-E924-8F75-A277-2DEBF83A333D}"/>
            </a:ext>
          </a:extLst>
        </xdr:cNvPr>
        <xdr:cNvSpPr>
          <a:spLocks noChangeAspect="1" noChangeArrowheads="1"/>
        </xdr:cNvSpPr>
      </xdr:nvSpPr>
      <xdr:spPr bwMode="auto">
        <a:xfrm>
          <a:off x="1402080" y="77952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069" name="AutoShape 21" descr="Favorite Target">
          <a:extLst>
            <a:ext uri="{FF2B5EF4-FFF2-40B4-BE49-F238E27FC236}">
              <a16:creationId xmlns:a16="http://schemas.microsoft.com/office/drawing/2014/main" id="{6199A5F9-3EAB-7DAE-AA8B-65DFA0F7DEEB}"/>
            </a:ext>
          </a:extLst>
        </xdr:cNvPr>
        <xdr:cNvSpPr>
          <a:spLocks noChangeAspect="1" noChangeArrowheads="1"/>
        </xdr:cNvSpPr>
      </xdr:nvSpPr>
      <xdr:spPr bwMode="auto">
        <a:xfrm>
          <a:off x="2011680" y="77952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3" name="AutoShape 1" descr="Size">
          <a:extLst>
            <a:ext uri="{FF2B5EF4-FFF2-40B4-BE49-F238E27FC236}">
              <a16:creationId xmlns:a16="http://schemas.microsoft.com/office/drawing/2014/main" id="{4E176F5F-451A-4DBB-B920-B21AC324BB0A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" name="AutoShape 18" descr="Range">
          <a:extLst>
            <a:ext uri="{FF2B5EF4-FFF2-40B4-BE49-F238E27FC236}">
              <a16:creationId xmlns:a16="http://schemas.microsoft.com/office/drawing/2014/main" id="{BD339F43-C37F-4E12-9EFB-FF493AE900A1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lashofclans.fandom.com/wiki/Experience" TargetMode="External"/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hyperlink" Target="https://clashofclans.fandom.com/wiki/Resources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hyperlink" Target="https://clashofclans.fandom.com/wiki/Experience" TargetMode="External"/><Relationship Id="rId5" Type="http://schemas.openxmlformats.org/officeDocument/2006/relationships/hyperlink" Target="https://clashofclans.fandom.com/wiki/Resources" TargetMode="External"/><Relationship Id="rId4" Type="http://schemas.openxmlformats.org/officeDocument/2006/relationships/hyperlink" Target="https://clashofclans.fandom.com/wiki/Town_Hall" TargetMode="External"/><Relationship Id="rId9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drawing" Target="../drawings/drawing3.xml"/><Relationship Id="rId5" Type="http://schemas.openxmlformats.org/officeDocument/2006/relationships/hyperlink" Target="https://clashofclans.fandom.com/wiki/Town_Hall" TargetMode="External"/><Relationship Id="rId4" Type="http://schemas.openxmlformats.org/officeDocument/2006/relationships/hyperlink" Target="https://clashofclans.fandom.com/wiki/Town_Hal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55A77-4ADA-4D87-ADBA-9E92B9CBE2DF}">
  <dimension ref="A3:AL24"/>
  <sheetViews>
    <sheetView tabSelected="1" topLeftCell="A7" zoomScale="70" zoomScaleNormal="70" workbookViewId="0">
      <selection activeCell="V20" sqref="V20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8" ht="15" thickBot="1" x14ac:dyDescent="0.35">
      <c r="D3" s="6"/>
    </row>
    <row r="4" spans="1:38" ht="15" thickBot="1" x14ac:dyDescent="0.35">
      <c r="D4" s="7"/>
    </row>
    <row r="5" spans="1:38" ht="15" customHeight="1" x14ac:dyDescent="0.3">
      <c r="D5" s="16" t="s">
        <v>6</v>
      </c>
      <c r="E5" s="16" t="s">
        <v>7</v>
      </c>
      <c r="F5" s="16" t="s">
        <v>8</v>
      </c>
      <c r="G5" s="16" t="s">
        <v>9</v>
      </c>
      <c r="H5" s="18" t="s">
        <v>101</v>
      </c>
      <c r="I5" s="16" t="s">
        <v>11</v>
      </c>
      <c r="J5" s="18" t="s">
        <v>12</v>
      </c>
      <c r="K5" s="18" t="s">
        <v>13</v>
      </c>
    </row>
    <row r="6" spans="1:38" ht="28.2" customHeight="1" thickBot="1" x14ac:dyDescent="0.35">
      <c r="D6" s="17"/>
      <c r="E6" s="17"/>
      <c r="F6" s="17"/>
      <c r="G6" s="17"/>
      <c r="H6" s="19"/>
      <c r="I6" s="17"/>
      <c r="J6" s="19"/>
      <c r="K6" s="19"/>
      <c r="L6" s="23"/>
      <c r="M6" s="31"/>
    </row>
    <row r="7" spans="1:38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5" t="s">
        <v>8</v>
      </c>
      <c r="G7" s="25" t="s">
        <v>9</v>
      </c>
      <c r="H7" s="25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1</v>
      </c>
      <c r="B8" t="s">
        <v>54</v>
      </c>
      <c r="C8" t="s">
        <v>55</v>
      </c>
      <c r="D8" s="8">
        <v>1</v>
      </c>
      <c r="E8" s="8">
        <v>11</v>
      </c>
      <c r="F8" s="8" t="s">
        <v>128</v>
      </c>
      <c r="G8" s="8">
        <v>620</v>
      </c>
      <c r="H8" s="27">
        <v>100000</v>
      </c>
      <c r="I8" s="9" t="s">
        <v>23</v>
      </c>
      <c r="J8" s="8">
        <v>60</v>
      </c>
      <c r="K8" s="8">
        <v>5</v>
      </c>
      <c r="L8" s="7" t="s">
        <v>5</v>
      </c>
      <c r="M8" s="8">
        <v>7</v>
      </c>
      <c r="N8" s="8">
        <v>7</v>
      </c>
      <c r="O8" s="8" t="s">
        <v>142</v>
      </c>
      <c r="P8" s="8" t="s">
        <v>143</v>
      </c>
      <c r="Q8" s="8" t="s">
        <v>144</v>
      </c>
      <c r="R8">
        <f>INDEX($U$8:$AL$8,MATCH(K8,$U$7:$AL$7,0))</f>
        <v>1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4">
        <v>1</v>
      </c>
      <c r="Z8" s="4">
        <v>2</v>
      </c>
      <c r="AA8" s="5">
        <v>2</v>
      </c>
      <c r="AB8" s="4">
        <v>3</v>
      </c>
      <c r="AC8" s="4">
        <v>4</v>
      </c>
      <c r="AD8" s="5">
        <v>4</v>
      </c>
      <c r="AE8" s="4">
        <v>5</v>
      </c>
      <c r="AF8" s="5">
        <v>5</v>
      </c>
      <c r="AG8" s="5">
        <v>5</v>
      </c>
      <c r="AH8" s="5">
        <v>5</v>
      </c>
      <c r="AI8" s="5">
        <v>5</v>
      </c>
      <c r="AJ8" s="5">
        <v>5</v>
      </c>
      <c r="AK8" s="5">
        <v>5</v>
      </c>
      <c r="AL8" s="4" t="s">
        <v>127</v>
      </c>
    </row>
    <row r="9" spans="1:38" ht="27" thickBot="1" x14ac:dyDescent="0.35">
      <c r="A9">
        <v>1</v>
      </c>
      <c r="B9" t="s">
        <v>54</v>
      </c>
      <c r="C9" t="s">
        <v>55</v>
      </c>
      <c r="D9" s="8">
        <v>2</v>
      </c>
      <c r="E9" s="8">
        <v>13</v>
      </c>
      <c r="F9" s="8" t="s">
        <v>129</v>
      </c>
      <c r="G9" s="8">
        <v>650</v>
      </c>
      <c r="H9" s="27">
        <v>150000</v>
      </c>
      <c r="I9" s="9" t="s">
        <v>73</v>
      </c>
      <c r="J9" s="8">
        <v>73</v>
      </c>
      <c r="K9" s="8">
        <v>5</v>
      </c>
      <c r="L9" s="7" t="s">
        <v>5</v>
      </c>
      <c r="M9" s="8">
        <v>7</v>
      </c>
      <c r="N9" s="8">
        <v>7</v>
      </c>
      <c r="O9" s="8" t="s">
        <v>142</v>
      </c>
      <c r="P9" s="8" t="s">
        <v>143</v>
      </c>
      <c r="Q9" s="8" t="s">
        <v>144</v>
      </c>
      <c r="R9">
        <f>INDEX($U$8:$AL$8,MATCH(K9,$U$7:$AL$7,0))</f>
        <v>1</v>
      </c>
    </row>
    <row r="10" spans="1:38" ht="27" thickBot="1" x14ac:dyDescent="0.35">
      <c r="A10">
        <v>1</v>
      </c>
      <c r="B10" t="s">
        <v>54</v>
      </c>
      <c r="C10" t="s">
        <v>55</v>
      </c>
      <c r="D10" s="8">
        <v>3</v>
      </c>
      <c r="E10" s="8">
        <v>16</v>
      </c>
      <c r="F10" s="8" t="s">
        <v>130</v>
      </c>
      <c r="G10" s="8">
        <v>680</v>
      </c>
      <c r="H10" s="27">
        <v>250000</v>
      </c>
      <c r="I10" s="9" t="s">
        <v>30</v>
      </c>
      <c r="J10" s="8">
        <v>120</v>
      </c>
      <c r="K10" s="10">
        <v>6</v>
      </c>
      <c r="L10" s="7" t="s">
        <v>5</v>
      </c>
      <c r="M10" s="8">
        <v>7</v>
      </c>
      <c r="N10" s="8">
        <v>7</v>
      </c>
      <c r="O10" s="8" t="s">
        <v>142</v>
      </c>
      <c r="P10" s="8" t="s">
        <v>143</v>
      </c>
      <c r="Q10" s="8" t="s">
        <v>144</v>
      </c>
      <c r="R10">
        <f>INDEX($U$8:$AL$8,MATCH(K10,$U$7:$AL$7,0))</f>
        <v>2</v>
      </c>
      <c r="T10" s="3"/>
      <c r="U10" s="2"/>
      <c r="V10" s="2"/>
      <c r="W10" s="2"/>
      <c r="X10" s="2"/>
      <c r="Y10" s="2"/>
      <c r="Z10" s="2"/>
      <c r="AA10" s="2"/>
      <c r="AB10" s="2"/>
      <c r="AC10" s="2"/>
    </row>
    <row r="11" spans="1:38" ht="27" thickBot="1" x14ac:dyDescent="0.35">
      <c r="A11">
        <v>1</v>
      </c>
      <c r="B11" t="s">
        <v>54</v>
      </c>
      <c r="C11" t="s">
        <v>55</v>
      </c>
      <c r="D11" s="8">
        <v>4</v>
      </c>
      <c r="E11" s="8">
        <v>20</v>
      </c>
      <c r="F11" s="8">
        <v>26</v>
      </c>
      <c r="G11" s="8">
        <v>730</v>
      </c>
      <c r="H11" s="27">
        <v>400000</v>
      </c>
      <c r="I11" s="9" t="s">
        <v>36</v>
      </c>
      <c r="J11" s="8">
        <v>169</v>
      </c>
      <c r="K11" s="8">
        <v>7</v>
      </c>
      <c r="L11" s="7" t="s">
        <v>5</v>
      </c>
      <c r="M11" s="8">
        <v>7</v>
      </c>
      <c r="N11" s="8">
        <v>7</v>
      </c>
      <c r="O11" s="8" t="s">
        <v>142</v>
      </c>
      <c r="P11" s="8" t="s">
        <v>143</v>
      </c>
      <c r="Q11" s="8" t="s">
        <v>144</v>
      </c>
      <c r="R11">
        <f>INDEX($U$8:$AL$8,MATCH(K11,$U$7:$AL$7,0))</f>
        <v>2</v>
      </c>
      <c r="T11" s="3"/>
      <c r="U11" s="5"/>
      <c r="V11" s="4"/>
      <c r="W11" s="5"/>
      <c r="X11" s="5"/>
      <c r="Y11" s="5"/>
      <c r="Z11" s="5"/>
      <c r="AA11" s="5"/>
      <c r="AB11" s="5"/>
      <c r="AC11" s="4"/>
    </row>
    <row r="12" spans="1:38" ht="27" thickBot="1" x14ac:dyDescent="0.35">
      <c r="A12">
        <v>1</v>
      </c>
      <c r="B12" t="s">
        <v>54</v>
      </c>
      <c r="C12" t="s">
        <v>55</v>
      </c>
      <c r="D12" s="8">
        <v>5</v>
      </c>
      <c r="E12" s="8">
        <v>24</v>
      </c>
      <c r="F12" s="8" t="s">
        <v>131</v>
      </c>
      <c r="G12" s="8">
        <v>840</v>
      </c>
      <c r="H12" s="27">
        <v>550000</v>
      </c>
      <c r="I12" s="9" t="s">
        <v>37</v>
      </c>
      <c r="J12" s="8">
        <v>189</v>
      </c>
      <c r="K12" s="8">
        <v>8</v>
      </c>
      <c r="L12" s="7" t="s">
        <v>5</v>
      </c>
      <c r="M12" s="8">
        <v>7</v>
      </c>
      <c r="N12" s="8">
        <v>7</v>
      </c>
      <c r="O12" s="8" t="s">
        <v>142</v>
      </c>
      <c r="P12" s="8" t="s">
        <v>143</v>
      </c>
      <c r="Q12" s="8" t="s">
        <v>144</v>
      </c>
      <c r="R12">
        <f>INDEX($U$8:$AL$8,MATCH(K12,$U$7:$AL$7,0))</f>
        <v>3</v>
      </c>
    </row>
    <row r="13" spans="1:38" ht="27" thickBot="1" x14ac:dyDescent="0.35">
      <c r="A13">
        <v>1</v>
      </c>
      <c r="B13" t="s">
        <v>54</v>
      </c>
      <c r="C13" t="s">
        <v>55</v>
      </c>
      <c r="D13" s="8">
        <v>6</v>
      </c>
      <c r="E13" s="8">
        <v>32</v>
      </c>
      <c r="F13" s="8" t="s">
        <v>132</v>
      </c>
      <c r="G13" s="8">
        <v>960</v>
      </c>
      <c r="H13" s="27">
        <v>660000</v>
      </c>
      <c r="I13" s="9" t="s">
        <v>39</v>
      </c>
      <c r="J13" s="8">
        <v>207</v>
      </c>
      <c r="K13" s="8">
        <v>8</v>
      </c>
      <c r="L13" s="7" t="s">
        <v>5</v>
      </c>
      <c r="M13" s="8">
        <v>7</v>
      </c>
      <c r="N13" s="8">
        <v>7</v>
      </c>
      <c r="O13" s="8" t="s">
        <v>142</v>
      </c>
      <c r="P13" s="8" t="s">
        <v>143</v>
      </c>
      <c r="Q13" s="8" t="s">
        <v>144</v>
      </c>
      <c r="R13">
        <f>INDEX($U$8:$AL$8,MATCH(K13,$U$7:$AL$7,0))</f>
        <v>3</v>
      </c>
    </row>
    <row r="14" spans="1:38" ht="27" thickBot="1" x14ac:dyDescent="0.35">
      <c r="A14">
        <v>1</v>
      </c>
      <c r="B14" t="s">
        <v>54</v>
      </c>
      <c r="C14" t="s">
        <v>55</v>
      </c>
      <c r="D14" s="8">
        <v>7</v>
      </c>
      <c r="E14" s="8">
        <v>40</v>
      </c>
      <c r="F14" s="8">
        <v>52</v>
      </c>
      <c r="G14" s="27">
        <v>1200</v>
      </c>
      <c r="H14" s="27">
        <v>1000000</v>
      </c>
      <c r="I14" s="9" t="s">
        <v>89</v>
      </c>
      <c r="J14" s="8">
        <v>254</v>
      </c>
      <c r="K14" s="10">
        <v>9</v>
      </c>
      <c r="L14" s="7" t="s">
        <v>5</v>
      </c>
      <c r="M14" s="8">
        <v>7</v>
      </c>
      <c r="N14" s="8">
        <v>7</v>
      </c>
      <c r="O14" s="8" t="s">
        <v>142</v>
      </c>
      <c r="P14" s="8" t="s">
        <v>143</v>
      </c>
      <c r="Q14" s="8" t="s">
        <v>144</v>
      </c>
      <c r="R14">
        <f>INDEX($U$8:$AL$8,MATCH(K14,$U$7:$AL$7,0))</f>
        <v>4</v>
      </c>
    </row>
    <row r="15" spans="1:38" ht="27" thickBot="1" x14ac:dyDescent="0.35">
      <c r="A15">
        <v>1</v>
      </c>
      <c r="B15" t="s">
        <v>54</v>
      </c>
      <c r="C15" t="s">
        <v>55</v>
      </c>
      <c r="D15" s="8">
        <v>8</v>
      </c>
      <c r="E15" s="8">
        <v>45</v>
      </c>
      <c r="F15" s="8" t="s">
        <v>133</v>
      </c>
      <c r="G15" s="27">
        <v>1440</v>
      </c>
      <c r="H15" s="27">
        <v>1100000</v>
      </c>
      <c r="I15" s="9" t="s">
        <v>42</v>
      </c>
      <c r="J15" s="8">
        <v>268</v>
      </c>
      <c r="K15" s="8">
        <v>10</v>
      </c>
      <c r="L15" s="7" t="s">
        <v>5</v>
      </c>
      <c r="M15" s="8">
        <v>7</v>
      </c>
      <c r="N15" s="8">
        <v>7</v>
      </c>
      <c r="O15" s="8" t="s">
        <v>142</v>
      </c>
      <c r="P15" s="8" t="s">
        <v>143</v>
      </c>
      <c r="Q15" s="8" t="s">
        <v>144</v>
      </c>
      <c r="R15">
        <f>INDEX($U$8:$AL$8,MATCH(K15,$U$7:$AL$7,0))</f>
        <v>4</v>
      </c>
    </row>
    <row r="16" spans="1:38" ht="27" thickBot="1" x14ac:dyDescent="0.35">
      <c r="A16">
        <v>1</v>
      </c>
      <c r="B16" t="s">
        <v>54</v>
      </c>
      <c r="C16" t="s">
        <v>55</v>
      </c>
      <c r="D16" s="8">
        <v>9</v>
      </c>
      <c r="E16" s="8">
        <v>50</v>
      </c>
      <c r="F16" s="8">
        <v>65</v>
      </c>
      <c r="G16" s="27">
        <v>1600</v>
      </c>
      <c r="H16" s="27">
        <v>1300000</v>
      </c>
      <c r="I16" s="9" t="s">
        <v>43</v>
      </c>
      <c r="J16" s="8">
        <v>293</v>
      </c>
      <c r="K16" s="8">
        <v>10</v>
      </c>
      <c r="L16" s="7" t="s">
        <v>5</v>
      </c>
      <c r="M16" s="8">
        <v>7</v>
      </c>
      <c r="N16" s="8">
        <v>7</v>
      </c>
      <c r="O16" s="8" t="s">
        <v>142</v>
      </c>
      <c r="P16" s="8" t="s">
        <v>143</v>
      </c>
      <c r="Q16" s="8" t="s">
        <v>144</v>
      </c>
      <c r="R16">
        <f>INDEX($U$8:$AL$8,MATCH(K16,$U$7:$AL$7,0))</f>
        <v>4</v>
      </c>
    </row>
    <row r="17" spans="1:18" ht="27" thickBot="1" x14ac:dyDescent="0.35">
      <c r="A17">
        <v>1</v>
      </c>
      <c r="B17" t="s">
        <v>54</v>
      </c>
      <c r="C17" t="s">
        <v>55</v>
      </c>
      <c r="D17" s="8">
        <v>10</v>
      </c>
      <c r="E17" s="8">
        <v>62</v>
      </c>
      <c r="F17" s="8" t="s">
        <v>134</v>
      </c>
      <c r="G17" s="27">
        <v>1900</v>
      </c>
      <c r="H17" s="27">
        <v>2000000</v>
      </c>
      <c r="I17" s="9" t="s">
        <v>78</v>
      </c>
      <c r="J17" s="8">
        <v>328</v>
      </c>
      <c r="K17" s="10">
        <v>11</v>
      </c>
      <c r="L17" s="7" t="s">
        <v>5</v>
      </c>
      <c r="M17" s="8">
        <v>7</v>
      </c>
      <c r="N17" s="8">
        <v>7</v>
      </c>
      <c r="O17" s="8" t="s">
        <v>142</v>
      </c>
      <c r="P17" s="8" t="s">
        <v>143</v>
      </c>
      <c r="Q17" s="8" t="s">
        <v>144</v>
      </c>
      <c r="R17">
        <f>INDEX($U$8:$AL$8,MATCH(K17,$U$7:$AL$7,0))</f>
        <v>5</v>
      </c>
    </row>
    <row r="18" spans="1:18" ht="27" thickBot="1" x14ac:dyDescent="0.35">
      <c r="A18">
        <v>1</v>
      </c>
      <c r="B18" t="s">
        <v>54</v>
      </c>
      <c r="C18" t="s">
        <v>55</v>
      </c>
      <c r="D18" s="8">
        <v>11</v>
      </c>
      <c r="E18" s="8">
        <v>70</v>
      </c>
      <c r="F18" s="8">
        <v>91</v>
      </c>
      <c r="G18" s="27">
        <v>2120</v>
      </c>
      <c r="H18" s="27">
        <v>2500000</v>
      </c>
      <c r="I18" s="9" t="s">
        <v>44</v>
      </c>
      <c r="J18" s="8">
        <v>360</v>
      </c>
      <c r="K18" s="8">
        <v>12</v>
      </c>
      <c r="L18" s="7" t="s">
        <v>5</v>
      </c>
      <c r="M18" s="8">
        <v>7</v>
      </c>
      <c r="N18" s="8">
        <v>7</v>
      </c>
      <c r="O18" s="8" t="s">
        <v>142</v>
      </c>
      <c r="P18" s="8" t="s">
        <v>143</v>
      </c>
      <c r="Q18" s="8" t="s">
        <v>144</v>
      </c>
      <c r="R18">
        <f>INDEX($U$8:$AL$8,MATCH(K18,$U$7:$AL$7,0))</f>
        <v>5</v>
      </c>
    </row>
    <row r="19" spans="1:18" ht="27" thickBot="1" x14ac:dyDescent="0.35">
      <c r="A19">
        <v>1</v>
      </c>
      <c r="B19" t="s">
        <v>54</v>
      </c>
      <c r="C19" t="s">
        <v>55</v>
      </c>
      <c r="D19" s="8">
        <v>12</v>
      </c>
      <c r="E19" s="8">
        <v>78</v>
      </c>
      <c r="F19" s="8" t="s">
        <v>135</v>
      </c>
      <c r="G19" s="27">
        <v>2240</v>
      </c>
      <c r="H19" s="27">
        <v>2600000</v>
      </c>
      <c r="I19" s="9" t="s">
        <v>136</v>
      </c>
      <c r="J19" s="8">
        <v>388</v>
      </c>
      <c r="K19" s="8">
        <v>13</v>
      </c>
      <c r="L19" s="7" t="s">
        <v>5</v>
      </c>
      <c r="M19" s="8">
        <v>7</v>
      </c>
      <c r="N19" s="8">
        <v>7</v>
      </c>
      <c r="O19" s="8" t="s">
        <v>142</v>
      </c>
      <c r="P19" s="8" t="s">
        <v>143</v>
      </c>
      <c r="Q19" s="8" t="s">
        <v>144</v>
      </c>
      <c r="R19">
        <f>INDEX($U$8:$AL$8,MATCH(K19,$U$7:$AL$7,0))</f>
        <v>5</v>
      </c>
    </row>
    <row r="20" spans="1:18" ht="27" thickBot="1" x14ac:dyDescent="0.35">
      <c r="A20">
        <v>1</v>
      </c>
      <c r="B20" t="s">
        <v>54</v>
      </c>
      <c r="C20" t="s">
        <v>55</v>
      </c>
      <c r="D20" s="8">
        <v>13</v>
      </c>
      <c r="E20" s="8">
        <v>84</v>
      </c>
      <c r="F20" s="8" t="s">
        <v>137</v>
      </c>
      <c r="G20" s="27">
        <v>2500</v>
      </c>
      <c r="H20" s="27">
        <v>3000000</v>
      </c>
      <c r="I20" s="9" t="s">
        <v>82</v>
      </c>
      <c r="J20" s="8">
        <v>415</v>
      </c>
      <c r="K20" s="8">
        <v>13</v>
      </c>
      <c r="L20" s="7" t="s">
        <v>5</v>
      </c>
      <c r="M20" s="8">
        <v>7</v>
      </c>
      <c r="N20" s="8">
        <v>7</v>
      </c>
      <c r="O20" s="8" t="s">
        <v>142</v>
      </c>
      <c r="P20" s="8" t="s">
        <v>143</v>
      </c>
      <c r="Q20" s="8" t="s">
        <v>144</v>
      </c>
      <c r="R20">
        <f>INDEX($U$8:$AL$8,MATCH(K20,$U$7:$AL$7,0))</f>
        <v>5</v>
      </c>
    </row>
    <row r="21" spans="1:18" ht="27" thickBot="1" x14ac:dyDescent="0.35">
      <c r="A21">
        <v>1</v>
      </c>
      <c r="B21" t="s">
        <v>54</v>
      </c>
      <c r="C21" t="s">
        <v>55</v>
      </c>
      <c r="D21" s="8">
        <v>14</v>
      </c>
      <c r="E21" s="8">
        <v>90</v>
      </c>
      <c r="F21" s="8">
        <v>117</v>
      </c>
      <c r="G21" s="27">
        <v>2800</v>
      </c>
      <c r="H21" s="27">
        <v>4500000</v>
      </c>
      <c r="I21" s="9" t="s">
        <v>91</v>
      </c>
      <c r="J21" s="8">
        <v>509</v>
      </c>
      <c r="K21" s="10">
        <v>14</v>
      </c>
      <c r="L21" s="7" t="s">
        <v>5</v>
      </c>
      <c r="M21" s="8">
        <v>7</v>
      </c>
      <c r="N21" s="8">
        <v>7</v>
      </c>
      <c r="O21" s="8" t="s">
        <v>142</v>
      </c>
      <c r="P21" s="8" t="s">
        <v>143</v>
      </c>
      <c r="Q21" s="8" t="s">
        <v>144</v>
      </c>
      <c r="R21">
        <f>INDEX($U$8:$AL$8,MATCH(K21,$U$7:$AL$7,0))</f>
        <v>5</v>
      </c>
    </row>
    <row r="22" spans="1:18" ht="27" thickBot="1" x14ac:dyDescent="0.35">
      <c r="A22">
        <v>1</v>
      </c>
      <c r="B22" t="s">
        <v>54</v>
      </c>
      <c r="C22" t="s">
        <v>55</v>
      </c>
      <c r="D22" s="8">
        <v>15</v>
      </c>
      <c r="E22" s="8">
        <v>95</v>
      </c>
      <c r="F22" s="8" t="s">
        <v>138</v>
      </c>
      <c r="G22" s="27">
        <v>3000</v>
      </c>
      <c r="H22" s="27">
        <v>5500000</v>
      </c>
      <c r="I22" s="9" t="s">
        <v>92</v>
      </c>
      <c r="J22" s="8">
        <v>587</v>
      </c>
      <c r="K22" s="8">
        <v>15</v>
      </c>
      <c r="L22" s="7" t="s">
        <v>5</v>
      </c>
      <c r="M22" s="8">
        <v>7</v>
      </c>
      <c r="N22" s="8">
        <v>7</v>
      </c>
      <c r="O22" s="8" t="s">
        <v>142</v>
      </c>
      <c r="P22" s="8" t="s">
        <v>143</v>
      </c>
      <c r="Q22" s="8" t="s">
        <v>144</v>
      </c>
      <c r="R22">
        <f>INDEX($U$8:$AL$8,MATCH(K22,$U$7:$AL$7,0))</f>
        <v>5</v>
      </c>
    </row>
    <row r="23" spans="1:18" ht="27" thickBot="1" x14ac:dyDescent="0.35">
      <c r="A23">
        <v>1</v>
      </c>
      <c r="B23" t="s">
        <v>54</v>
      </c>
      <c r="C23" t="s">
        <v>55</v>
      </c>
      <c r="D23" s="8">
        <v>16</v>
      </c>
      <c r="E23" s="8">
        <v>102</v>
      </c>
      <c r="F23" s="8" t="s">
        <v>139</v>
      </c>
      <c r="G23" s="27">
        <v>3150</v>
      </c>
      <c r="H23" s="27">
        <v>8000000</v>
      </c>
      <c r="I23" s="9" t="s">
        <v>140</v>
      </c>
      <c r="J23" s="8">
        <v>623</v>
      </c>
      <c r="K23" s="8">
        <v>16</v>
      </c>
      <c r="L23" s="7" t="s">
        <v>5</v>
      </c>
      <c r="M23" s="8">
        <v>7</v>
      </c>
      <c r="N23" s="8">
        <v>7</v>
      </c>
      <c r="O23" s="8" t="s">
        <v>142</v>
      </c>
      <c r="P23" s="8" t="s">
        <v>143</v>
      </c>
      <c r="Q23" s="8" t="s">
        <v>144</v>
      </c>
      <c r="R23">
        <f>INDEX($U$8:$AL$8,MATCH(K23,$U$7:$AL$7,0))</f>
        <v>5</v>
      </c>
    </row>
    <row r="24" spans="1:18" ht="27" thickBot="1" x14ac:dyDescent="0.35">
      <c r="A24">
        <v>1</v>
      </c>
      <c r="B24" t="s">
        <v>54</v>
      </c>
      <c r="C24" t="s">
        <v>55</v>
      </c>
      <c r="D24" s="11">
        <v>17</v>
      </c>
      <c r="E24" s="11">
        <v>110</v>
      </c>
      <c r="F24" s="11">
        <v>143</v>
      </c>
      <c r="G24" s="28">
        <v>3300</v>
      </c>
      <c r="H24" s="28">
        <v>14000000</v>
      </c>
      <c r="I24" s="12" t="s">
        <v>141</v>
      </c>
      <c r="J24" s="11">
        <v>689</v>
      </c>
      <c r="K24" s="11">
        <v>17</v>
      </c>
      <c r="L24" s="7" t="s">
        <v>5</v>
      </c>
      <c r="M24" s="8">
        <v>7</v>
      </c>
      <c r="N24" s="8">
        <v>7</v>
      </c>
      <c r="O24" s="8" t="s">
        <v>142</v>
      </c>
      <c r="P24" s="8" t="s">
        <v>143</v>
      </c>
      <c r="Q24" s="8" t="s">
        <v>144</v>
      </c>
      <c r="R24">
        <f>INDEX($U$8:$AL$8,MATCH(K24,$U$7:$AL$7,0))</f>
        <v>5</v>
      </c>
    </row>
  </sheetData>
  <mergeCells count="8">
    <mergeCell ref="J5:J6"/>
    <mergeCell ref="K5:K6"/>
    <mergeCell ref="D5:D6"/>
    <mergeCell ref="E5:E6"/>
    <mergeCell ref="F5:F6"/>
    <mergeCell ref="G5:G6"/>
    <mergeCell ref="H5:H6"/>
    <mergeCell ref="I5:I6"/>
  </mergeCells>
  <hyperlinks>
    <hyperlink ref="T7" r:id="rId1" tooltip="Town Hall" display="https://clashofclans.fandom.com/wiki/Town_Hall" xr:uid="{D0A29575-C691-4C57-918F-2EFE3D1804DC}"/>
    <hyperlink ref="J7" r:id="rId2" tooltip="Experience" display="https://clashofclans.fandom.com/wiki/Experience" xr:uid="{0813305B-0FD0-42AC-BFEE-162626B6ED78}"/>
    <hyperlink ref="K7" r:id="rId3" tooltip="Town Hall" display="https://clashofclans.fandom.com/wiki/Town_Hall" xr:uid="{1EF7BE34-26C7-4FE9-9457-47F469E48A54}"/>
    <hyperlink ref="H5" r:id="rId4" location="Gold" tooltip="Resources" display="https://clashofclans.fandom.com/wiki/Resources - Gold" xr:uid="{039C0449-1694-4F42-AF04-02D8F3B53F2B}"/>
    <hyperlink ref="J5" r:id="rId5" tooltip="Experience" display="https://clashofclans.fandom.com/wiki/Experience" xr:uid="{61467575-8A6E-4139-8488-40BE24D7461D}"/>
    <hyperlink ref="K5" r:id="rId6" tooltip="Town Hall" display="https://clashofclans.fandom.com/wiki/Town_Hall" xr:uid="{78CE5D80-F3D4-4ED6-9677-D1CD0D4E3531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CF795-0A07-4C9D-9E02-EA0EB50F9192}">
  <dimension ref="A3:AQ31"/>
  <sheetViews>
    <sheetView topLeftCell="A2" zoomScale="70" zoomScaleNormal="70" workbookViewId="0">
      <selection activeCell="O9" sqref="O9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3" t="s">
        <v>6</v>
      </c>
      <c r="E5" s="33"/>
      <c r="F5" s="34"/>
      <c r="G5" s="33" t="s">
        <v>9</v>
      </c>
      <c r="H5" s="34"/>
      <c r="I5" s="33"/>
      <c r="J5" s="34"/>
      <c r="K5" s="34" t="s">
        <v>13</v>
      </c>
    </row>
    <row r="6" spans="1:43" ht="28.2" customHeight="1" thickBot="1" x14ac:dyDescent="0.35">
      <c r="D6" s="13"/>
      <c r="E6" s="13"/>
      <c r="F6" s="14"/>
      <c r="G6" s="13"/>
      <c r="H6" s="14"/>
      <c r="I6" s="13"/>
      <c r="J6" s="14"/>
      <c r="K6" s="14"/>
      <c r="L6" s="23"/>
      <c r="M6" s="31"/>
    </row>
    <row r="7" spans="1:43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5</v>
      </c>
      <c r="B8" t="s">
        <v>105</v>
      </c>
      <c r="C8" t="s">
        <v>106</v>
      </c>
      <c r="D8" s="8">
        <v>1</v>
      </c>
      <c r="F8" s="8"/>
      <c r="G8" s="36">
        <v>400</v>
      </c>
      <c r="H8" s="36" t="s">
        <v>102</v>
      </c>
      <c r="I8" s="36" t="s">
        <v>102</v>
      </c>
      <c r="J8" s="36" t="s">
        <v>102</v>
      </c>
      <c r="K8" s="8">
        <v>1</v>
      </c>
      <c r="L8" s="7" t="s">
        <v>104</v>
      </c>
      <c r="M8" s="7"/>
      <c r="N8" s="30"/>
      <c r="O8" s="8"/>
      <c r="P8" s="8"/>
      <c r="Q8" s="8"/>
      <c r="R8">
        <f>INDEX($V$8:$AM$8,MATCH(K8,$V$7:$AM$7,0))</f>
        <v>1</v>
      </c>
      <c r="U8" s="3" t="s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</row>
    <row r="9" spans="1:43" ht="15" thickBot="1" x14ac:dyDescent="0.35">
      <c r="A9">
        <v>5</v>
      </c>
      <c r="B9" t="s">
        <v>105</v>
      </c>
      <c r="C9" t="s">
        <v>106</v>
      </c>
      <c r="D9" s="8">
        <v>2</v>
      </c>
      <c r="F9" s="8"/>
      <c r="G9" s="36">
        <v>800</v>
      </c>
      <c r="H9" s="36">
        <v>1000</v>
      </c>
      <c r="I9" s="37" t="s">
        <v>111</v>
      </c>
      <c r="J9" s="36">
        <v>3</v>
      </c>
      <c r="K9" s="8">
        <v>2</v>
      </c>
      <c r="L9" s="7" t="s">
        <v>104</v>
      </c>
      <c r="M9" s="7"/>
      <c r="N9" s="30"/>
      <c r="O9" s="8"/>
      <c r="P9" s="8"/>
      <c r="Q9" s="8"/>
      <c r="R9">
        <f t="shared" ref="R9:R26" si="0">INDEX($V$8:$AM$8,MATCH(K9,$V$7:$AM$7,0))</f>
        <v>1</v>
      </c>
      <c r="V9" s="3"/>
    </row>
    <row r="10" spans="1:43" ht="28.2" customHeight="1" thickBot="1" x14ac:dyDescent="0.35">
      <c r="A10">
        <v>5</v>
      </c>
      <c r="B10" t="s">
        <v>105</v>
      </c>
      <c r="C10" t="s">
        <v>106</v>
      </c>
      <c r="D10" s="8">
        <v>3</v>
      </c>
      <c r="F10" s="8"/>
      <c r="G10" s="36">
        <v>1600</v>
      </c>
      <c r="H10" s="36">
        <v>4000</v>
      </c>
      <c r="I10" s="37" t="s">
        <v>22</v>
      </c>
      <c r="J10" s="36">
        <v>42</v>
      </c>
      <c r="K10" s="8">
        <v>3</v>
      </c>
      <c r="L10" s="7" t="s">
        <v>104</v>
      </c>
      <c r="M10" s="7"/>
      <c r="N10" s="30"/>
      <c r="O10" s="8"/>
      <c r="P10" s="8"/>
      <c r="Q10" s="8"/>
      <c r="R10">
        <f t="shared" si="0"/>
        <v>1</v>
      </c>
      <c r="AD10" s="3"/>
      <c r="AO10" s="16"/>
      <c r="AP10" s="16"/>
      <c r="AQ10" s="18"/>
    </row>
    <row r="11" spans="1:43" ht="15" customHeight="1" thickBot="1" x14ac:dyDescent="0.35">
      <c r="A11">
        <v>5</v>
      </c>
      <c r="B11" t="s">
        <v>105</v>
      </c>
      <c r="C11" t="s">
        <v>106</v>
      </c>
      <c r="D11" s="8">
        <v>4</v>
      </c>
      <c r="F11" s="8"/>
      <c r="G11" s="36">
        <v>2000</v>
      </c>
      <c r="H11" s="36">
        <v>25000</v>
      </c>
      <c r="I11" s="37" t="s">
        <v>26</v>
      </c>
      <c r="J11" s="36">
        <v>103</v>
      </c>
      <c r="K11" s="8">
        <v>4</v>
      </c>
      <c r="L11" s="7" t="s">
        <v>104</v>
      </c>
      <c r="M11" s="7"/>
      <c r="N11" s="30"/>
      <c r="O11" s="8"/>
      <c r="P11" s="8"/>
      <c r="Q11" s="8"/>
      <c r="R11">
        <f t="shared" si="0"/>
        <v>1</v>
      </c>
      <c r="U11" s="16" t="s">
        <v>107</v>
      </c>
      <c r="V11" s="16" t="s">
        <v>9</v>
      </c>
      <c r="W11" s="18" t="s">
        <v>10</v>
      </c>
      <c r="X11" s="16" t="s">
        <v>11</v>
      </c>
      <c r="Y11" s="18" t="s">
        <v>12</v>
      </c>
      <c r="Z11" s="33" t="s">
        <v>108</v>
      </c>
      <c r="AA11" s="33" t="s">
        <v>108</v>
      </c>
      <c r="AD11" s="3"/>
      <c r="AO11" s="17"/>
      <c r="AP11" s="17"/>
      <c r="AQ11" s="19"/>
    </row>
    <row r="12" spans="1:43" ht="15" thickBot="1" x14ac:dyDescent="0.35">
      <c r="A12">
        <v>5</v>
      </c>
      <c r="B12" t="s">
        <v>105</v>
      </c>
      <c r="C12" t="s">
        <v>106</v>
      </c>
      <c r="D12" s="8">
        <v>5</v>
      </c>
      <c r="F12" s="8"/>
      <c r="G12" s="36">
        <v>2400</v>
      </c>
      <c r="H12" s="36">
        <v>150000</v>
      </c>
      <c r="I12" s="37" t="s">
        <v>34</v>
      </c>
      <c r="J12" s="36">
        <v>146</v>
      </c>
      <c r="K12" s="8">
        <v>5</v>
      </c>
      <c r="L12" s="7" t="s">
        <v>104</v>
      </c>
      <c r="M12" s="7"/>
      <c r="N12" s="30"/>
      <c r="O12" s="8"/>
      <c r="P12" s="8"/>
      <c r="Q12" s="8"/>
      <c r="R12">
        <f t="shared" si="0"/>
        <v>1</v>
      </c>
      <c r="U12" s="17"/>
      <c r="V12" s="17"/>
      <c r="W12" s="19"/>
      <c r="X12" s="17"/>
      <c r="Y12" s="19"/>
      <c r="Z12" s="35" t="s">
        <v>109</v>
      </c>
      <c r="AA12" s="35" t="s">
        <v>110</v>
      </c>
      <c r="AC12" s="16" t="s">
        <v>107</v>
      </c>
      <c r="AD12" s="16" t="s">
        <v>9</v>
      </c>
      <c r="AE12" s="18" t="s">
        <v>10</v>
      </c>
      <c r="AF12" s="16" t="s">
        <v>11</v>
      </c>
      <c r="AG12" s="18" t="s">
        <v>12</v>
      </c>
      <c r="AH12" s="33" t="s">
        <v>108</v>
      </c>
      <c r="AI12" s="33" t="s">
        <v>108</v>
      </c>
      <c r="AO12" s="8"/>
      <c r="AP12" s="8"/>
      <c r="AQ12" s="8"/>
    </row>
    <row r="13" spans="1:43" ht="15" customHeight="1" thickBot="1" x14ac:dyDescent="0.35">
      <c r="A13">
        <v>5</v>
      </c>
      <c r="B13" t="s">
        <v>105</v>
      </c>
      <c r="C13" t="s">
        <v>106</v>
      </c>
      <c r="D13" s="8">
        <v>6</v>
      </c>
      <c r="F13" s="8"/>
      <c r="G13" s="36">
        <v>2800</v>
      </c>
      <c r="H13" s="36">
        <v>500000</v>
      </c>
      <c r="I13" s="37" t="s">
        <v>39</v>
      </c>
      <c r="J13" s="36">
        <v>207</v>
      </c>
      <c r="K13" s="8">
        <v>6</v>
      </c>
      <c r="L13" s="7" t="s">
        <v>104</v>
      </c>
      <c r="M13" s="7"/>
      <c r="N13" s="30"/>
      <c r="O13" s="8"/>
      <c r="P13" s="8"/>
      <c r="Q13" s="8"/>
      <c r="R13">
        <f t="shared" si="0"/>
        <v>1</v>
      </c>
      <c r="U13" s="36">
        <v>1</v>
      </c>
      <c r="V13" s="36">
        <v>400</v>
      </c>
      <c r="W13" s="36" t="s">
        <v>102</v>
      </c>
      <c r="X13" s="36" t="s">
        <v>102</v>
      </c>
      <c r="Y13" s="36" t="s">
        <v>102</v>
      </c>
      <c r="Z13" s="36">
        <v>13</v>
      </c>
      <c r="AA13" s="36" t="s">
        <v>102</v>
      </c>
      <c r="AC13" s="17"/>
      <c r="AD13" s="17"/>
      <c r="AE13" s="19"/>
      <c r="AF13" s="17"/>
      <c r="AG13" s="19"/>
      <c r="AH13" s="35" t="s">
        <v>109</v>
      </c>
      <c r="AI13" s="35" t="s">
        <v>110</v>
      </c>
      <c r="AO13" s="8"/>
      <c r="AP13" s="8"/>
      <c r="AQ13" s="8"/>
    </row>
    <row r="14" spans="1:43" ht="15" customHeight="1" thickBot="1" x14ac:dyDescent="0.35">
      <c r="A14">
        <v>5</v>
      </c>
      <c r="B14" t="s">
        <v>105</v>
      </c>
      <c r="C14" t="s">
        <v>106</v>
      </c>
      <c r="D14" s="8">
        <v>7</v>
      </c>
      <c r="F14" s="8"/>
      <c r="G14" s="36">
        <v>3300</v>
      </c>
      <c r="H14" s="36">
        <v>1000000</v>
      </c>
      <c r="I14" s="37" t="s">
        <v>89</v>
      </c>
      <c r="J14" s="36">
        <v>254</v>
      </c>
      <c r="K14" s="8">
        <v>7</v>
      </c>
      <c r="L14" s="7" t="s">
        <v>104</v>
      </c>
      <c r="M14" s="7"/>
      <c r="N14" s="30"/>
      <c r="O14" s="8"/>
      <c r="P14" s="8"/>
      <c r="Q14" s="8"/>
      <c r="R14">
        <f t="shared" si="0"/>
        <v>1</v>
      </c>
      <c r="U14" s="36">
        <v>2</v>
      </c>
      <c r="V14" s="36">
        <v>800</v>
      </c>
      <c r="W14" s="36">
        <v>1000</v>
      </c>
      <c r="X14" s="37" t="s">
        <v>111</v>
      </c>
      <c r="Y14" s="36">
        <v>3</v>
      </c>
      <c r="Z14" s="36">
        <v>17</v>
      </c>
      <c r="AA14" s="36" t="s">
        <v>102</v>
      </c>
      <c r="AC14" s="8">
        <v>1</v>
      </c>
      <c r="AD14" s="8">
        <v>400</v>
      </c>
      <c r="AE14" s="8" t="s">
        <v>102</v>
      </c>
      <c r="AF14" s="8" t="s">
        <v>102</v>
      </c>
      <c r="AG14" s="8" t="s">
        <v>102</v>
      </c>
      <c r="AH14" s="8">
        <v>13</v>
      </c>
      <c r="AI14" s="8" t="s">
        <v>102</v>
      </c>
      <c r="AO14" s="8"/>
      <c r="AP14" s="8"/>
      <c r="AQ14" s="10"/>
    </row>
    <row r="15" spans="1:43" ht="15" customHeight="1" thickBot="1" x14ac:dyDescent="0.35">
      <c r="A15">
        <v>5</v>
      </c>
      <c r="B15" t="s">
        <v>105</v>
      </c>
      <c r="C15" t="s">
        <v>106</v>
      </c>
      <c r="D15" s="8">
        <v>8</v>
      </c>
      <c r="F15" s="8"/>
      <c r="G15" s="36">
        <v>3900</v>
      </c>
      <c r="H15" s="36">
        <v>2000000</v>
      </c>
      <c r="I15" s="37" t="s">
        <v>43</v>
      </c>
      <c r="J15" s="36">
        <v>293</v>
      </c>
      <c r="K15" s="8">
        <v>8</v>
      </c>
      <c r="L15" s="7" t="s">
        <v>104</v>
      </c>
      <c r="M15" s="7"/>
      <c r="N15" s="30"/>
      <c r="O15" s="8"/>
      <c r="P15" s="8"/>
      <c r="Q15" s="8"/>
      <c r="R15">
        <f t="shared" si="0"/>
        <v>1</v>
      </c>
      <c r="U15" s="36">
        <v>3</v>
      </c>
      <c r="V15" s="36">
        <v>1600</v>
      </c>
      <c r="W15" s="36">
        <v>4000</v>
      </c>
      <c r="X15" s="37" t="s">
        <v>22</v>
      </c>
      <c r="Y15" s="36">
        <v>42</v>
      </c>
      <c r="Z15" s="36">
        <v>25</v>
      </c>
      <c r="AA15" s="36">
        <v>2</v>
      </c>
      <c r="AC15" s="8">
        <v>2</v>
      </c>
      <c r="AD15" s="8">
        <v>800</v>
      </c>
      <c r="AE15" s="8">
        <v>1</v>
      </c>
      <c r="AF15" s="9" t="s">
        <v>111</v>
      </c>
      <c r="AG15" s="8">
        <v>3</v>
      </c>
      <c r="AH15" s="8">
        <v>17</v>
      </c>
      <c r="AI15" s="8" t="s">
        <v>102</v>
      </c>
      <c r="AO15" s="8"/>
      <c r="AP15" s="8"/>
      <c r="AQ15" s="8"/>
    </row>
    <row r="16" spans="1:43" ht="15" customHeight="1" thickBot="1" x14ac:dyDescent="0.35">
      <c r="A16">
        <v>5</v>
      </c>
      <c r="B16" t="s">
        <v>105</v>
      </c>
      <c r="C16" t="s">
        <v>106</v>
      </c>
      <c r="D16" s="8">
        <v>9</v>
      </c>
      <c r="F16" s="8"/>
      <c r="G16" s="36">
        <v>4600</v>
      </c>
      <c r="H16" s="36">
        <v>2500000</v>
      </c>
      <c r="I16" s="37" t="s">
        <v>82</v>
      </c>
      <c r="J16" s="36">
        <v>415</v>
      </c>
      <c r="K16" s="8">
        <v>9</v>
      </c>
      <c r="L16" s="7" t="s">
        <v>104</v>
      </c>
      <c r="M16" s="7"/>
      <c r="N16" s="30"/>
      <c r="O16" s="8"/>
      <c r="P16" s="8"/>
      <c r="Q16" s="8"/>
      <c r="R16">
        <f t="shared" si="0"/>
        <v>1</v>
      </c>
      <c r="U16" s="36">
        <v>4</v>
      </c>
      <c r="V16" s="36">
        <v>2000</v>
      </c>
      <c r="W16" s="36">
        <v>25000</v>
      </c>
      <c r="X16" s="37" t="s">
        <v>26</v>
      </c>
      <c r="Y16" s="36">
        <v>103</v>
      </c>
      <c r="Z16" s="36">
        <v>29</v>
      </c>
      <c r="AA16" s="36">
        <v>4</v>
      </c>
      <c r="AC16" s="8">
        <v>3</v>
      </c>
      <c r="AD16" s="8">
        <v>1.6</v>
      </c>
      <c r="AE16" s="8">
        <v>4</v>
      </c>
      <c r="AF16" s="9" t="s">
        <v>22</v>
      </c>
      <c r="AG16" s="8">
        <v>42</v>
      </c>
      <c r="AH16" s="8">
        <v>25</v>
      </c>
      <c r="AI16" s="8">
        <v>2</v>
      </c>
      <c r="AO16" s="8"/>
      <c r="AP16" s="8"/>
      <c r="AQ16" s="8"/>
    </row>
    <row r="17" spans="1:43" ht="15" customHeight="1" thickBot="1" x14ac:dyDescent="0.35">
      <c r="A17">
        <v>5</v>
      </c>
      <c r="B17" t="s">
        <v>105</v>
      </c>
      <c r="C17" t="s">
        <v>106</v>
      </c>
      <c r="D17" s="8">
        <v>10</v>
      </c>
      <c r="F17" s="8"/>
      <c r="G17" s="36">
        <v>5500</v>
      </c>
      <c r="H17" s="36">
        <v>3500000</v>
      </c>
      <c r="I17" s="37" t="s">
        <v>91</v>
      </c>
      <c r="J17" s="36">
        <v>509</v>
      </c>
      <c r="K17" s="8">
        <v>10</v>
      </c>
      <c r="L17" s="7" t="s">
        <v>104</v>
      </c>
      <c r="M17" s="7"/>
      <c r="N17" s="30"/>
      <c r="O17" s="8"/>
      <c r="P17" s="8"/>
      <c r="Q17" s="8"/>
      <c r="R17">
        <f t="shared" si="0"/>
        <v>1</v>
      </c>
      <c r="U17" s="36">
        <v>5</v>
      </c>
      <c r="V17" s="36">
        <v>2400</v>
      </c>
      <c r="W17" s="36">
        <v>150000</v>
      </c>
      <c r="X17" s="37" t="s">
        <v>34</v>
      </c>
      <c r="Y17" s="36">
        <v>146</v>
      </c>
      <c r="Z17" s="36">
        <v>36</v>
      </c>
      <c r="AA17" s="36">
        <v>8</v>
      </c>
      <c r="AC17" s="8">
        <v>4</v>
      </c>
      <c r="AD17" s="8">
        <v>2</v>
      </c>
      <c r="AE17" s="8">
        <v>25</v>
      </c>
      <c r="AF17" s="9" t="s">
        <v>26</v>
      </c>
      <c r="AG17" s="8">
        <v>103</v>
      </c>
      <c r="AH17" s="8">
        <v>29</v>
      </c>
      <c r="AI17" s="8">
        <v>4</v>
      </c>
      <c r="AO17" s="8"/>
      <c r="AP17" s="8"/>
      <c r="AQ17" s="8"/>
    </row>
    <row r="18" spans="1:43" ht="15" customHeight="1" thickBot="1" x14ac:dyDescent="0.35">
      <c r="A18">
        <v>5</v>
      </c>
      <c r="B18" t="s">
        <v>105</v>
      </c>
      <c r="C18" t="s">
        <v>106</v>
      </c>
      <c r="D18" s="8">
        <v>11</v>
      </c>
      <c r="F18" s="8"/>
      <c r="G18" s="36">
        <v>6800</v>
      </c>
      <c r="H18" s="36">
        <v>4000000</v>
      </c>
      <c r="I18" s="37" t="s">
        <v>94</v>
      </c>
      <c r="J18" s="36">
        <v>657</v>
      </c>
      <c r="K18" s="8">
        <v>11</v>
      </c>
      <c r="L18" s="7" t="s">
        <v>104</v>
      </c>
      <c r="M18" s="7"/>
      <c r="N18" s="30"/>
      <c r="O18" s="8"/>
      <c r="P18" s="8"/>
      <c r="Q18" s="8"/>
      <c r="R18">
        <f t="shared" si="0"/>
        <v>1</v>
      </c>
      <c r="U18" s="36">
        <v>6</v>
      </c>
      <c r="V18" s="36">
        <v>2800</v>
      </c>
      <c r="W18" s="36">
        <v>500000</v>
      </c>
      <c r="X18" s="37" t="s">
        <v>39</v>
      </c>
      <c r="Y18" s="36">
        <v>207</v>
      </c>
      <c r="Z18" s="36">
        <v>42</v>
      </c>
      <c r="AA18" s="36">
        <v>11</v>
      </c>
      <c r="AC18" s="8">
        <v>5</v>
      </c>
      <c r="AD18" s="8">
        <v>2.4</v>
      </c>
      <c r="AE18" s="8">
        <v>150</v>
      </c>
      <c r="AF18" s="9" t="s">
        <v>34</v>
      </c>
      <c r="AG18" s="8">
        <v>146</v>
      </c>
      <c r="AH18" s="8">
        <v>36</v>
      </c>
      <c r="AI18" s="8">
        <v>8</v>
      </c>
      <c r="AO18" s="8"/>
      <c r="AP18" s="8"/>
      <c r="AQ18" s="8"/>
    </row>
    <row r="19" spans="1:43" ht="15" customHeight="1" thickBot="1" x14ac:dyDescent="0.35">
      <c r="A19">
        <v>5</v>
      </c>
      <c r="B19" t="s">
        <v>105</v>
      </c>
      <c r="C19" t="s">
        <v>106</v>
      </c>
      <c r="D19" s="8">
        <v>12</v>
      </c>
      <c r="F19" s="8"/>
      <c r="G19" s="36">
        <v>7500</v>
      </c>
      <c r="H19" s="36">
        <v>6000000</v>
      </c>
      <c r="I19" s="37" t="s">
        <v>115</v>
      </c>
      <c r="J19" s="36">
        <v>720</v>
      </c>
      <c r="K19" s="8">
        <v>12</v>
      </c>
      <c r="L19" s="7" t="s">
        <v>104</v>
      </c>
      <c r="M19" s="7"/>
      <c r="N19" s="30"/>
      <c r="O19" s="8"/>
      <c r="P19" s="8"/>
      <c r="Q19" s="8"/>
      <c r="R19">
        <f t="shared" si="0"/>
        <v>1</v>
      </c>
      <c r="U19" s="36">
        <v>7</v>
      </c>
      <c r="V19" s="36">
        <v>3300</v>
      </c>
      <c r="W19" s="36">
        <v>1000000</v>
      </c>
      <c r="X19" s="37" t="s">
        <v>89</v>
      </c>
      <c r="Y19" s="36">
        <v>254</v>
      </c>
      <c r="Z19" s="36">
        <v>54</v>
      </c>
      <c r="AA19" s="36">
        <v>15</v>
      </c>
      <c r="AC19" s="8">
        <v>6</v>
      </c>
      <c r="AD19" s="8">
        <v>2.8</v>
      </c>
      <c r="AE19" s="8">
        <v>500</v>
      </c>
      <c r="AF19" s="9" t="s">
        <v>39</v>
      </c>
      <c r="AG19" s="8">
        <v>207</v>
      </c>
      <c r="AH19" s="8">
        <v>42</v>
      </c>
      <c r="AI19" s="8">
        <v>11</v>
      </c>
      <c r="AO19" s="8"/>
      <c r="AP19" s="8"/>
      <c r="AQ19" s="8"/>
    </row>
    <row r="20" spans="1:43" ht="27" customHeight="1" thickBot="1" x14ac:dyDescent="0.35">
      <c r="A20">
        <v>5</v>
      </c>
      <c r="B20" t="s">
        <v>105</v>
      </c>
      <c r="C20" t="s">
        <v>106</v>
      </c>
      <c r="D20" s="8">
        <v>13</v>
      </c>
      <c r="F20" s="8"/>
      <c r="G20" s="36">
        <v>8200</v>
      </c>
      <c r="H20" s="36">
        <v>9000000</v>
      </c>
      <c r="I20" s="37" t="s">
        <v>117</v>
      </c>
      <c r="J20" s="36">
        <v>777</v>
      </c>
      <c r="K20" s="8">
        <v>13</v>
      </c>
      <c r="L20" s="7" t="s">
        <v>104</v>
      </c>
      <c r="M20" s="7"/>
      <c r="N20" s="30"/>
      <c r="O20" s="8"/>
      <c r="P20" s="8"/>
      <c r="Q20" s="8"/>
      <c r="R20">
        <f t="shared" si="0"/>
        <v>1</v>
      </c>
      <c r="U20" s="36">
        <v>8</v>
      </c>
      <c r="V20" s="36">
        <v>3900</v>
      </c>
      <c r="W20" s="36">
        <v>2000000</v>
      </c>
      <c r="X20" s="37" t="s">
        <v>43</v>
      </c>
      <c r="Y20" s="36">
        <v>293</v>
      </c>
      <c r="Z20" s="36">
        <v>64</v>
      </c>
      <c r="AA20" s="36">
        <v>23</v>
      </c>
      <c r="AC20" s="8">
        <v>7</v>
      </c>
      <c r="AD20" s="8">
        <v>3.3</v>
      </c>
      <c r="AE20" s="8" t="s">
        <v>35</v>
      </c>
      <c r="AF20" s="9" t="s">
        <v>89</v>
      </c>
      <c r="AG20" s="8">
        <v>254</v>
      </c>
      <c r="AH20" s="8">
        <v>54</v>
      </c>
      <c r="AI20" s="8">
        <v>15</v>
      </c>
      <c r="AO20" s="8"/>
      <c r="AP20" s="8"/>
      <c r="AQ20" s="8"/>
    </row>
    <row r="21" spans="1:43" ht="27" customHeight="1" thickBot="1" x14ac:dyDescent="0.35">
      <c r="A21">
        <v>5</v>
      </c>
      <c r="B21" t="s">
        <v>105</v>
      </c>
      <c r="C21" t="s">
        <v>106</v>
      </c>
      <c r="D21" s="8">
        <v>14</v>
      </c>
      <c r="F21" s="8"/>
      <c r="G21" s="36">
        <v>8900</v>
      </c>
      <c r="H21" s="36">
        <v>12000000</v>
      </c>
      <c r="I21" s="37" t="s">
        <v>119</v>
      </c>
      <c r="J21" s="36">
        <v>804</v>
      </c>
      <c r="K21" s="8">
        <v>14</v>
      </c>
      <c r="L21" s="7" t="s">
        <v>104</v>
      </c>
      <c r="M21" s="7"/>
      <c r="N21" s="30"/>
      <c r="O21" s="8"/>
      <c r="P21" s="8"/>
      <c r="Q21" s="8"/>
      <c r="R21">
        <f t="shared" si="0"/>
        <v>1</v>
      </c>
      <c r="U21" s="36">
        <v>9</v>
      </c>
      <c r="V21" s="36">
        <v>4600</v>
      </c>
      <c r="W21" s="36">
        <v>2500000</v>
      </c>
      <c r="X21" s="37" t="s">
        <v>82</v>
      </c>
      <c r="Y21" s="36">
        <v>415</v>
      </c>
      <c r="Z21" s="36">
        <v>77</v>
      </c>
      <c r="AA21" s="36">
        <v>26</v>
      </c>
      <c r="AC21" s="8">
        <v>8</v>
      </c>
      <c r="AD21" s="8">
        <v>3.9</v>
      </c>
      <c r="AE21" s="8" t="s">
        <v>41</v>
      </c>
      <c r="AF21" s="9" t="s">
        <v>43</v>
      </c>
      <c r="AG21" s="8">
        <v>293</v>
      </c>
      <c r="AH21" s="8">
        <v>64</v>
      </c>
      <c r="AI21" s="8">
        <v>23</v>
      </c>
      <c r="AO21" s="8"/>
      <c r="AP21" s="8"/>
      <c r="AQ21" s="8"/>
    </row>
    <row r="22" spans="1:43" ht="27" customHeight="1" thickBot="1" x14ac:dyDescent="0.35">
      <c r="A22">
        <v>5</v>
      </c>
      <c r="B22" t="s">
        <v>105</v>
      </c>
      <c r="C22" t="s">
        <v>106</v>
      </c>
      <c r="D22" s="8">
        <v>15</v>
      </c>
      <c r="F22" s="8"/>
      <c r="G22" s="36">
        <v>9600</v>
      </c>
      <c r="H22" s="36">
        <v>13000000</v>
      </c>
      <c r="I22" s="37" t="s">
        <v>120</v>
      </c>
      <c r="J22" s="36">
        <v>831</v>
      </c>
      <c r="K22" s="8">
        <v>15</v>
      </c>
      <c r="L22" s="7" t="s">
        <v>104</v>
      </c>
      <c r="M22" s="7"/>
      <c r="N22" s="30"/>
      <c r="O22" s="8"/>
      <c r="P22" s="8"/>
      <c r="Q22" s="8"/>
      <c r="R22">
        <f t="shared" si="0"/>
        <v>1</v>
      </c>
      <c r="U22" s="36">
        <v>10</v>
      </c>
      <c r="V22" s="36">
        <v>5500</v>
      </c>
      <c r="W22" s="36">
        <v>3500000</v>
      </c>
      <c r="X22" s="37" t="s">
        <v>91</v>
      </c>
      <c r="Y22" s="36">
        <v>509</v>
      </c>
      <c r="Z22" s="36">
        <v>84</v>
      </c>
      <c r="AA22" s="36">
        <v>30</v>
      </c>
      <c r="AC22" s="8">
        <v>9</v>
      </c>
      <c r="AD22" s="8">
        <v>4.5999999999999996</v>
      </c>
      <c r="AE22" s="8" t="s">
        <v>112</v>
      </c>
      <c r="AF22" s="9" t="s">
        <v>82</v>
      </c>
      <c r="AG22" s="8">
        <v>415</v>
      </c>
      <c r="AH22" s="8">
        <v>77</v>
      </c>
      <c r="AI22" s="8">
        <v>26</v>
      </c>
      <c r="AO22" s="8"/>
      <c r="AP22" s="8"/>
      <c r="AQ22" s="10"/>
    </row>
    <row r="23" spans="1:43" ht="27" customHeight="1" thickBot="1" x14ac:dyDescent="0.35">
      <c r="A23">
        <v>5</v>
      </c>
      <c r="B23" t="s">
        <v>105</v>
      </c>
      <c r="C23" t="s">
        <v>106</v>
      </c>
      <c r="D23" s="8">
        <v>16</v>
      </c>
      <c r="F23" s="8"/>
      <c r="G23" s="36">
        <v>10000</v>
      </c>
      <c r="H23" s="36">
        <v>15000000</v>
      </c>
      <c r="I23" s="37" t="s">
        <v>122</v>
      </c>
      <c r="J23" s="36">
        <v>881</v>
      </c>
      <c r="K23" s="8">
        <v>16</v>
      </c>
      <c r="L23" s="7" t="s">
        <v>104</v>
      </c>
      <c r="M23" s="7"/>
      <c r="N23" s="30"/>
      <c r="O23" s="8"/>
      <c r="P23" s="8"/>
      <c r="Q23" s="8"/>
      <c r="R23">
        <f t="shared" si="0"/>
        <v>1</v>
      </c>
      <c r="U23" s="36">
        <v>11</v>
      </c>
      <c r="V23" s="36">
        <v>6800</v>
      </c>
      <c r="W23" s="36">
        <v>4000000</v>
      </c>
      <c r="X23" s="37" t="s">
        <v>94</v>
      </c>
      <c r="Y23" s="36">
        <v>657</v>
      </c>
      <c r="Z23" s="36">
        <v>89</v>
      </c>
      <c r="AA23" s="36">
        <v>31</v>
      </c>
      <c r="AC23" s="8">
        <v>10</v>
      </c>
      <c r="AD23" s="8">
        <v>5.5</v>
      </c>
      <c r="AE23" s="8" t="s">
        <v>113</v>
      </c>
      <c r="AF23" s="9" t="s">
        <v>91</v>
      </c>
      <c r="AG23" s="8">
        <v>509</v>
      </c>
      <c r="AH23" s="8">
        <v>84</v>
      </c>
      <c r="AI23" s="8">
        <v>30</v>
      </c>
      <c r="AO23" s="8"/>
      <c r="AP23" s="8"/>
      <c r="AQ23" s="8"/>
    </row>
    <row r="24" spans="1:43" ht="27" customHeight="1" thickBot="1" x14ac:dyDescent="0.35">
      <c r="A24">
        <v>5</v>
      </c>
      <c r="B24" t="s">
        <v>105</v>
      </c>
      <c r="C24" t="s">
        <v>106</v>
      </c>
      <c r="D24" s="8">
        <v>17</v>
      </c>
      <c r="F24" s="8"/>
      <c r="G24" s="36">
        <v>10400</v>
      </c>
      <c r="H24" s="36">
        <v>16000000</v>
      </c>
      <c r="I24" s="37" t="s">
        <v>124</v>
      </c>
      <c r="J24" s="36">
        <v>929</v>
      </c>
      <c r="K24" s="8">
        <v>17</v>
      </c>
      <c r="L24" s="7" t="s">
        <v>104</v>
      </c>
      <c r="M24" s="7"/>
      <c r="N24" s="30"/>
      <c r="O24" s="8"/>
      <c r="P24" s="8"/>
      <c r="Q24" s="8"/>
      <c r="R24">
        <f t="shared" si="0"/>
        <v>1</v>
      </c>
      <c r="U24" s="36">
        <v>12</v>
      </c>
      <c r="V24" s="36">
        <v>7500</v>
      </c>
      <c r="W24" s="36">
        <v>6000000</v>
      </c>
      <c r="X24" s="37" t="s">
        <v>115</v>
      </c>
      <c r="Y24" s="36">
        <v>720</v>
      </c>
      <c r="Z24" s="36">
        <v>92</v>
      </c>
      <c r="AA24" s="36">
        <v>36</v>
      </c>
      <c r="AC24" s="8">
        <v>11</v>
      </c>
      <c r="AD24" s="8">
        <v>6.8</v>
      </c>
      <c r="AE24" s="8" t="s">
        <v>81</v>
      </c>
      <c r="AF24" s="9" t="s">
        <v>94</v>
      </c>
      <c r="AG24" s="8">
        <v>657</v>
      </c>
      <c r="AH24" s="8">
        <v>89</v>
      </c>
      <c r="AI24" s="8">
        <v>31</v>
      </c>
      <c r="AO24" s="8"/>
      <c r="AP24" s="8"/>
      <c r="AQ24" s="8"/>
    </row>
    <row r="25" spans="1:43" ht="27" customHeight="1" thickBot="1" x14ac:dyDescent="0.35">
      <c r="A25">
        <v>5</v>
      </c>
      <c r="B25" t="s">
        <v>105</v>
      </c>
      <c r="C25" t="s">
        <v>106</v>
      </c>
      <c r="D25" s="8">
        <v>18</v>
      </c>
      <c r="F25" s="8"/>
      <c r="G25" s="36">
        <v>10800</v>
      </c>
      <c r="H25" s="36">
        <v>25000000</v>
      </c>
      <c r="I25" s="37" t="s">
        <v>126</v>
      </c>
      <c r="J25" s="36">
        <v>1018</v>
      </c>
      <c r="K25" s="8">
        <v>18</v>
      </c>
      <c r="L25" s="7" t="s">
        <v>104</v>
      </c>
      <c r="M25" s="7"/>
      <c r="N25" s="30"/>
      <c r="O25" s="8"/>
      <c r="P25" s="8"/>
      <c r="Q25" s="8"/>
      <c r="R25">
        <f t="shared" si="0"/>
        <v>1</v>
      </c>
      <c r="U25" s="36">
        <v>13</v>
      </c>
      <c r="V25" s="36">
        <v>8200</v>
      </c>
      <c r="W25" s="36">
        <v>9000000</v>
      </c>
      <c r="X25" s="37" t="s">
        <v>117</v>
      </c>
      <c r="Y25" s="36">
        <v>777</v>
      </c>
      <c r="Z25" s="36">
        <v>94</v>
      </c>
      <c r="AA25" s="36">
        <v>39</v>
      </c>
      <c r="AC25" s="8">
        <v>12</v>
      </c>
      <c r="AD25" s="8">
        <v>7.5</v>
      </c>
      <c r="AE25" s="8" t="s">
        <v>114</v>
      </c>
      <c r="AF25" s="9" t="s">
        <v>115</v>
      </c>
      <c r="AG25" s="8">
        <v>720</v>
      </c>
      <c r="AH25" s="8">
        <v>92</v>
      </c>
      <c r="AI25" s="8">
        <v>36</v>
      </c>
      <c r="AO25" s="8"/>
      <c r="AP25" s="8"/>
      <c r="AQ25" s="8"/>
    </row>
    <row r="26" spans="1:43" ht="27" customHeight="1" thickBot="1" x14ac:dyDescent="0.35">
      <c r="D26" s="8"/>
      <c r="G26" s="8"/>
      <c r="K26" s="8"/>
      <c r="L26" s="7"/>
      <c r="U26" s="36">
        <v>14</v>
      </c>
      <c r="V26" s="36">
        <v>8900</v>
      </c>
      <c r="W26" s="36">
        <v>12000000</v>
      </c>
      <c r="X26" s="37" t="s">
        <v>119</v>
      </c>
      <c r="Y26" s="36">
        <v>804</v>
      </c>
      <c r="Z26" s="36">
        <v>95</v>
      </c>
      <c r="AA26" s="36">
        <v>44</v>
      </c>
      <c r="AC26" s="8">
        <v>13</v>
      </c>
      <c r="AD26" s="8">
        <v>8.1999999999999993</v>
      </c>
      <c r="AE26" s="8" t="s">
        <v>116</v>
      </c>
      <c r="AF26" s="9" t="s">
        <v>117</v>
      </c>
      <c r="AG26" s="8">
        <v>777</v>
      </c>
      <c r="AH26" s="8">
        <v>94</v>
      </c>
      <c r="AI26" s="8">
        <v>39</v>
      </c>
      <c r="AO26" s="8"/>
      <c r="AP26" s="8"/>
      <c r="AQ26" s="8"/>
    </row>
    <row r="27" spans="1:43" ht="27" customHeight="1" thickBot="1" x14ac:dyDescent="0.35">
      <c r="U27" s="36">
        <v>15</v>
      </c>
      <c r="V27" s="36">
        <v>9600</v>
      </c>
      <c r="W27" s="36">
        <v>13000000</v>
      </c>
      <c r="X27" s="37" t="s">
        <v>120</v>
      </c>
      <c r="Y27" s="36">
        <v>831</v>
      </c>
      <c r="Z27" s="36">
        <v>98</v>
      </c>
      <c r="AA27" s="36">
        <v>44</v>
      </c>
      <c r="AC27" s="8">
        <v>14</v>
      </c>
      <c r="AD27" s="8">
        <v>8.9</v>
      </c>
      <c r="AE27" s="8" t="s">
        <v>118</v>
      </c>
      <c r="AF27" s="9" t="s">
        <v>119</v>
      </c>
      <c r="AG27" s="8">
        <v>804</v>
      </c>
      <c r="AH27" s="8">
        <v>95</v>
      </c>
      <c r="AI27" s="8">
        <v>44</v>
      </c>
      <c r="AO27" s="8"/>
      <c r="AP27" s="8"/>
      <c r="AQ27" s="8"/>
    </row>
    <row r="28" spans="1:43" ht="27" customHeight="1" thickBot="1" x14ac:dyDescent="0.35">
      <c r="U28" s="36">
        <v>16</v>
      </c>
      <c r="V28" s="36">
        <v>10000</v>
      </c>
      <c r="W28" s="36">
        <v>15000000</v>
      </c>
      <c r="X28" s="37" t="s">
        <v>122</v>
      </c>
      <c r="Y28" s="36">
        <v>881</v>
      </c>
      <c r="Z28" s="36">
        <v>94</v>
      </c>
      <c r="AA28" s="36">
        <v>44</v>
      </c>
      <c r="AC28" s="8">
        <v>15</v>
      </c>
      <c r="AD28" s="8">
        <v>9.6</v>
      </c>
      <c r="AE28" s="8" t="s">
        <v>93</v>
      </c>
      <c r="AF28" s="9" t="s">
        <v>120</v>
      </c>
      <c r="AG28" s="8">
        <v>831</v>
      </c>
      <c r="AH28" s="8">
        <v>98</v>
      </c>
      <c r="AI28" s="8">
        <v>44</v>
      </c>
      <c r="AO28" s="8"/>
      <c r="AP28" s="8"/>
      <c r="AQ28" s="8"/>
    </row>
    <row r="29" spans="1:43" ht="27" customHeight="1" thickBot="1" x14ac:dyDescent="0.35">
      <c r="U29" s="36">
        <v>17</v>
      </c>
      <c r="V29" s="36">
        <v>10400</v>
      </c>
      <c r="W29" s="36">
        <v>16000000</v>
      </c>
      <c r="X29" s="37" t="s">
        <v>124</v>
      </c>
      <c r="Y29" s="36">
        <v>929</v>
      </c>
      <c r="Z29" s="36">
        <v>93</v>
      </c>
      <c r="AA29" s="36">
        <v>47</v>
      </c>
      <c r="AC29" s="8">
        <v>16</v>
      </c>
      <c r="AD29" s="8">
        <v>10</v>
      </c>
      <c r="AE29" s="8" t="s">
        <v>121</v>
      </c>
      <c r="AF29" s="9" t="s">
        <v>122</v>
      </c>
      <c r="AG29" s="8">
        <v>881</v>
      </c>
      <c r="AH29" s="8">
        <v>94</v>
      </c>
      <c r="AI29" s="8">
        <v>44</v>
      </c>
      <c r="AO29" s="8"/>
      <c r="AP29" s="8"/>
      <c r="AQ29" s="8"/>
    </row>
    <row r="30" spans="1:43" ht="27" customHeight="1" thickBot="1" x14ac:dyDescent="0.35">
      <c r="U30" s="36">
        <v>18</v>
      </c>
      <c r="V30" s="36">
        <v>10800</v>
      </c>
      <c r="W30" s="36">
        <v>25000000</v>
      </c>
      <c r="X30" s="37" t="s">
        <v>126</v>
      </c>
      <c r="Y30" s="36">
        <v>1018</v>
      </c>
      <c r="Z30" s="36">
        <v>94</v>
      </c>
      <c r="AA30" s="36">
        <v>47</v>
      </c>
      <c r="AC30" s="8">
        <v>17</v>
      </c>
      <c r="AD30" s="8">
        <v>10.4</v>
      </c>
      <c r="AE30" s="8" t="s">
        <v>123</v>
      </c>
      <c r="AF30" s="9" t="s">
        <v>124</v>
      </c>
      <c r="AG30" s="8">
        <v>929</v>
      </c>
      <c r="AH30" s="8">
        <v>93</v>
      </c>
      <c r="AI30" s="8">
        <v>47</v>
      </c>
      <c r="AO30" s="8"/>
      <c r="AP30" s="8"/>
      <c r="AQ30" s="8"/>
    </row>
    <row r="31" spans="1:43" ht="27" thickBot="1" x14ac:dyDescent="0.35">
      <c r="AC31" s="8">
        <v>18</v>
      </c>
      <c r="AD31" s="8">
        <v>10.8</v>
      </c>
      <c r="AE31" s="8" t="s">
        <v>125</v>
      </c>
      <c r="AF31" s="9" t="s">
        <v>126</v>
      </c>
      <c r="AG31" s="8">
        <v>1.018</v>
      </c>
      <c r="AH31" s="8">
        <v>94</v>
      </c>
      <c r="AI31" s="8">
        <v>47</v>
      </c>
    </row>
  </sheetData>
  <mergeCells count="13">
    <mergeCell ref="AF12:AF13"/>
    <mergeCell ref="AG12:AG13"/>
    <mergeCell ref="AC12:AC13"/>
    <mergeCell ref="AO10:AO11"/>
    <mergeCell ref="AP10:AP11"/>
    <mergeCell ref="AQ10:AQ11"/>
    <mergeCell ref="U11:U12"/>
    <mergeCell ref="V11:V12"/>
    <mergeCell ref="W11:W12"/>
    <mergeCell ref="X11:X12"/>
    <mergeCell ref="Y11:Y12"/>
    <mergeCell ref="AD12:AD13"/>
    <mergeCell ref="AE12:AE13"/>
  </mergeCells>
  <phoneticPr fontId="22" type="noConversion"/>
  <hyperlinks>
    <hyperlink ref="J7" r:id="rId1" tooltip="Experience" display="https://clashofclans.fandom.com/wiki/Experience" xr:uid="{56A573B4-CBC6-4E4B-9893-15C6DB890860}"/>
    <hyperlink ref="K7" r:id="rId2" tooltip="Town Hall" display="https://clashofclans.fandom.com/wiki/Town_Hall" xr:uid="{DBB69A13-30B0-4E2E-B3DF-9A8DB0ECF9FF}"/>
    <hyperlink ref="U7" r:id="rId3" tooltip="Town Hall" display="https://clashofclans.fandom.com/wiki/Town_Hall" xr:uid="{6C617357-BEF4-4F25-8422-9041AE48441A}"/>
    <hyperlink ref="K5" r:id="rId4" tooltip="Town Hall" display="https://clashofclans.fandom.com/wiki/Town_Hall" xr:uid="{2302210D-29A7-4B13-B760-A5B4C696F267}"/>
    <hyperlink ref="AE12" r:id="rId5" location="Gold" tooltip="Resources" display="https://clashofclans.fandom.com/wiki/Resources - Gold" xr:uid="{8CE77920-F8DE-412F-AE34-5CABA331CED6}"/>
    <hyperlink ref="AG12" r:id="rId6" tooltip="Experience" display="https://clashofclans.fandom.com/wiki/Experience" xr:uid="{2B770476-38DD-4993-8160-8044C50C8469}"/>
    <hyperlink ref="W11" r:id="rId7" location="Gold" tooltip="Resources" display="https://clashofclans.fandom.com/wiki/Resources - Gold" xr:uid="{EF712AFD-C4CD-4F78-8BEE-28041796D476}"/>
    <hyperlink ref="Y11" r:id="rId8" tooltip="Experience" display="https://clashofclans.fandom.com/wiki/Experience" xr:uid="{87384AD3-D873-4E12-B2F2-6FCAD26ADDAE}"/>
  </hyperlinks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17101-733A-41D8-9344-27EF1469BD1C}">
  <dimension ref="A3:AQ30"/>
  <sheetViews>
    <sheetView workbookViewId="0">
      <selection activeCell="K35" sqref="K3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3" t="s">
        <v>6</v>
      </c>
      <c r="E5" s="33"/>
      <c r="F5" s="34"/>
      <c r="G5" s="33" t="s">
        <v>9</v>
      </c>
      <c r="H5" s="34"/>
      <c r="I5" s="33"/>
      <c r="J5" s="34"/>
      <c r="K5" s="34" t="s">
        <v>13</v>
      </c>
    </row>
    <row r="6" spans="1:43" ht="28.2" customHeight="1" thickBot="1" x14ac:dyDescent="0.35">
      <c r="D6" s="13"/>
      <c r="E6" s="13"/>
      <c r="F6" s="14"/>
      <c r="G6" s="13"/>
      <c r="H6" s="14"/>
      <c r="I6" s="13"/>
      <c r="J6" s="14"/>
      <c r="K6" s="14"/>
      <c r="L6" s="23"/>
      <c r="M6" s="31"/>
    </row>
    <row r="7" spans="1:43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4</v>
      </c>
      <c r="B8" t="s">
        <v>99</v>
      </c>
      <c r="C8" t="s">
        <v>100</v>
      </c>
      <c r="D8" s="8">
        <v>1</v>
      </c>
      <c r="F8" s="8"/>
      <c r="G8" s="8">
        <v>100</v>
      </c>
      <c r="H8" s="27"/>
      <c r="I8" s="9"/>
      <c r="J8" s="8"/>
      <c r="K8" s="8">
        <v>2</v>
      </c>
      <c r="L8" s="7" t="s">
        <v>103</v>
      </c>
      <c r="M8" s="7"/>
      <c r="N8" s="30"/>
      <c r="O8" s="8"/>
      <c r="P8" s="8"/>
      <c r="Q8" s="8"/>
      <c r="R8">
        <f>INDEX($V$8:$AM$8,MATCH(K8,$V$7:$AM$7,0))</f>
        <v>25</v>
      </c>
      <c r="U8" s="3" t="s">
        <v>1</v>
      </c>
      <c r="V8" s="5">
        <v>0</v>
      </c>
      <c r="W8" s="4">
        <v>25</v>
      </c>
      <c r="X8" s="4">
        <v>50</v>
      </c>
      <c r="Y8" s="4">
        <v>75</v>
      </c>
      <c r="Z8" s="4">
        <v>100</v>
      </c>
      <c r="AA8" s="4">
        <v>125</v>
      </c>
      <c r="AB8" s="4">
        <v>175</v>
      </c>
      <c r="AC8" s="4">
        <v>225</v>
      </c>
      <c r="AD8" s="4">
        <v>250</v>
      </c>
      <c r="AE8" s="4">
        <v>275</v>
      </c>
      <c r="AF8" s="4">
        <v>300</v>
      </c>
      <c r="AG8" s="5">
        <v>300</v>
      </c>
      <c r="AH8" s="5">
        <v>300</v>
      </c>
      <c r="AI8" s="4">
        <v>325</v>
      </c>
      <c r="AJ8" s="5">
        <v>325</v>
      </c>
      <c r="AK8" s="5">
        <v>325</v>
      </c>
      <c r="AL8" s="5">
        <v>325</v>
      </c>
      <c r="AM8" s="5">
        <v>325</v>
      </c>
    </row>
    <row r="9" spans="1:43" ht="15" thickBot="1" x14ac:dyDescent="0.35">
      <c r="A9">
        <v>4</v>
      </c>
      <c r="B9" t="s">
        <v>99</v>
      </c>
      <c r="C9" t="s">
        <v>100</v>
      </c>
      <c r="D9" s="8">
        <v>2</v>
      </c>
      <c r="F9" s="8"/>
      <c r="G9" s="8">
        <v>200</v>
      </c>
      <c r="H9" s="27"/>
      <c r="I9" s="9"/>
      <c r="J9" s="8"/>
      <c r="K9" s="8">
        <v>2</v>
      </c>
      <c r="L9" s="7" t="s">
        <v>103</v>
      </c>
      <c r="M9" s="7"/>
      <c r="N9" s="30"/>
      <c r="O9" s="8"/>
      <c r="P9" s="8"/>
      <c r="Q9" s="8"/>
      <c r="R9">
        <f t="shared" ref="R9:R26" si="0">INDEX($V$8:$AM$8,MATCH(K9,$V$7:$AM$7,0))</f>
        <v>25</v>
      </c>
      <c r="V9" s="3"/>
    </row>
    <row r="10" spans="1:43" ht="28.2" customHeight="1" thickBot="1" x14ac:dyDescent="0.35">
      <c r="A10">
        <v>4</v>
      </c>
      <c r="B10" t="s">
        <v>99</v>
      </c>
      <c r="C10" t="s">
        <v>100</v>
      </c>
      <c r="D10" s="8">
        <v>3</v>
      </c>
      <c r="F10" s="8"/>
      <c r="G10" s="8">
        <v>400</v>
      </c>
      <c r="H10" s="27"/>
      <c r="I10" s="9"/>
      <c r="J10" s="8"/>
      <c r="K10" s="10">
        <v>3</v>
      </c>
      <c r="L10" s="7" t="s">
        <v>103</v>
      </c>
      <c r="M10" s="7"/>
      <c r="N10" s="30"/>
      <c r="O10" s="8"/>
      <c r="P10" s="8"/>
      <c r="Q10" s="8"/>
      <c r="R10">
        <f t="shared" si="0"/>
        <v>50</v>
      </c>
      <c r="AD10" s="3"/>
      <c r="AO10" s="16" t="s">
        <v>6</v>
      </c>
      <c r="AP10" s="16" t="s">
        <v>9</v>
      </c>
      <c r="AQ10" s="18" t="s">
        <v>13</v>
      </c>
    </row>
    <row r="11" spans="1:43" ht="15" thickBot="1" x14ac:dyDescent="0.35">
      <c r="A11">
        <v>4</v>
      </c>
      <c r="B11" t="s">
        <v>99</v>
      </c>
      <c r="C11" t="s">
        <v>100</v>
      </c>
      <c r="D11" s="8">
        <v>4</v>
      </c>
      <c r="F11" s="8"/>
      <c r="G11" s="8">
        <v>800</v>
      </c>
      <c r="H11" s="27"/>
      <c r="I11" s="9"/>
      <c r="J11" s="8"/>
      <c r="K11" s="8">
        <v>4</v>
      </c>
      <c r="L11" s="7" t="s">
        <v>103</v>
      </c>
      <c r="M11" s="7"/>
      <c r="N11" s="30"/>
      <c r="O11" s="8"/>
      <c r="P11" s="8"/>
      <c r="Q11" s="8"/>
      <c r="R11">
        <f t="shared" si="0"/>
        <v>75</v>
      </c>
      <c r="AD11" s="3"/>
      <c r="AO11" s="17"/>
      <c r="AP11" s="17"/>
      <c r="AQ11" s="19"/>
    </row>
    <row r="12" spans="1:43" ht="15" thickBot="1" x14ac:dyDescent="0.35">
      <c r="A12">
        <v>4</v>
      </c>
      <c r="B12" t="s">
        <v>99</v>
      </c>
      <c r="C12" t="s">
        <v>100</v>
      </c>
      <c r="D12" s="8">
        <v>5</v>
      </c>
      <c r="F12" s="8"/>
      <c r="G12" s="8">
        <v>1.2</v>
      </c>
      <c r="H12" s="27"/>
      <c r="I12" s="9"/>
      <c r="J12" s="8"/>
      <c r="K12" s="8">
        <v>5</v>
      </c>
      <c r="L12" s="7" t="s">
        <v>103</v>
      </c>
      <c r="M12" s="7"/>
      <c r="N12" s="30"/>
      <c r="O12" s="8"/>
      <c r="P12" s="8"/>
      <c r="Q12" s="8"/>
      <c r="R12">
        <f t="shared" si="0"/>
        <v>100</v>
      </c>
      <c r="AO12" s="8">
        <v>1</v>
      </c>
      <c r="AP12" s="8">
        <v>100</v>
      </c>
      <c r="AQ12" s="8">
        <v>2</v>
      </c>
    </row>
    <row r="13" spans="1:43" ht="15" thickBot="1" x14ac:dyDescent="0.35">
      <c r="A13">
        <v>4</v>
      </c>
      <c r="B13" t="s">
        <v>99</v>
      </c>
      <c r="C13" t="s">
        <v>100</v>
      </c>
      <c r="D13" s="8">
        <v>6</v>
      </c>
      <c r="F13" s="8"/>
      <c r="G13" s="8">
        <v>1.8</v>
      </c>
      <c r="H13" s="27"/>
      <c r="I13" s="9"/>
      <c r="J13" s="8"/>
      <c r="K13" s="8">
        <v>6</v>
      </c>
      <c r="L13" s="7" t="s">
        <v>103</v>
      </c>
      <c r="M13" s="7"/>
      <c r="N13" s="30"/>
      <c r="O13" s="8"/>
      <c r="P13" s="8"/>
      <c r="Q13" s="8"/>
      <c r="R13">
        <f t="shared" si="0"/>
        <v>125</v>
      </c>
      <c r="AO13" s="8">
        <v>2</v>
      </c>
      <c r="AP13" s="8">
        <v>200</v>
      </c>
      <c r="AQ13" s="8">
        <v>2</v>
      </c>
    </row>
    <row r="14" spans="1:43" ht="15" thickBot="1" x14ac:dyDescent="0.35">
      <c r="A14">
        <v>4</v>
      </c>
      <c r="B14" t="s">
        <v>99</v>
      </c>
      <c r="C14" t="s">
        <v>100</v>
      </c>
      <c r="D14" s="8">
        <v>7</v>
      </c>
      <c r="F14" s="8"/>
      <c r="G14" s="8">
        <v>2.4</v>
      </c>
      <c r="H14" s="27"/>
      <c r="I14" s="9"/>
      <c r="J14" s="8"/>
      <c r="K14" s="8">
        <v>7</v>
      </c>
      <c r="L14" s="7" t="s">
        <v>103</v>
      </c>
      <c r="M14" s="7"/>
      <c r="N14" s="30"/>
      <c r="O14" s="8"/>
      <c r="P14" s="8"/>
      <c r="Q14" s="8"/>
      <c r="R14">
        <f t="shared" si="0"/>
        <v>175</v>
      </c>
      <c r="AO14" s="8">
        <v>3</v>
      </c>
      <c r="AP14" s="8">
        <v>400</v>
      </c>
      <c r="AQ14" s="10">
        <v>3</v>
      </c>
    </row>
    <row r="15" spans="1:43" ht="15" thickBot="1" x14ac:dyDescent="0.35">
      <c r="A15">
        <v>4</v>
      </c>
      <c r="B15" t="s">
        <v>99</v>
      </c>
      <c r="C15" t="s">
        <v>100</v>
      </c>
      <c r="D15" s="8">
        <v>8</v>
      </c>
      <c r="F15" s="8"/>
      <c r="G15" s="8">
        <v>3</v>
      </c>
      <c r="H15" s="27"/>
      <c r="I15" s="9"/>
      <c r="J15" s="8"/>
      <c r="K15" s="8">
        <v>8</v>
      </c>
      <c r="L15" s="7" t="s">
        <v>103</v>
      </c>
      <c r="M15" s="7"/>
      <c r="N15" s="30"/>
      <c r="O15" s="8"/>
      <c r="P15" s="8"/>
      <c r="Q15" s="8"/>
      <c r="R15">
        <f t="shared" si="0"/>
        <v>225</v>
      </c>
      <c r="AO15" s="8">
        <v>4</v>
      </c>
      <c r="AP15" s="8">
        <v>800</v>
      </c>
      <c r="AQ15" s="8">
        <v>4</v>
      </c>
    </row>
    <row r="16" spans="1:43" ht="15" thickBot="1" x14ac:dyDescent="0.35">
      <c r="A16">
        <v>4</v>
      </c>
      <c r="B16" t="s">
        <v>99</v>
      </c>
      <c r="C16" t="s">
        <v>100</v>
      </c>
      <c r="D16" s="8">
        <v>9</v>
      </c>
      <c r="F16" s="8"/>
      <c r="G16" s="8">
        <v>3.5</v>
      </c>
      <c r="H16" s="27"/>
      <c r="I16" s="9"/>
      <c r="J16" s="8"/>
      <c r="K16" s="8">
        <v>9</v>
      </c>
      <c r="L16" s="7" t="s">
        <v>103</v>
      </c>
      <c r="M16" s="7"/>
      <c r="N16" s="30"/>
      <c r="O16" s="8"/>
      <c r="P16" s="8"/>
      <c r="Q16" s="8"/>
      <c r="R16">
        <f t="shared" si="0"/>
        <v>250</v>
      </c>
      <c r="AO16" s="8">
        <v>5</v>
      </c>
      <c r="AP16" s="8">
        <v>1.2</v>
      </c>
      <c r="AQ16" s="8">
        <v>5</v>
      </c>
    </row>
    <row r="17" spans="1:43" ht="15" thickBot="1" x14ac:dyDescent="0.35">
      <c r="A17">
        <v>4</v>
      </c>
      <c r="B17" t="s">
        <v>99</v>
      </c>
      <c r="C17" t="s">
        <v>100</v>
      </c>
      <c r="D17" s="8">
        <v>10</v>
      </c>
      <c r="F17" s="8"/>
      <c r="G17" s="8">
        <v>4</v>
      </c>
      <c r="H17" s="27"/>
      <c r="I17" s="9"/>
      <c r="J17" s="8"/>
      <c r="K17" s="8">
        <v>9</v>
      </c>
      <c r="L17" s="7" t="s">
        <v>103</v>
      </c>
      <c r="M17" s="7"/>
      <c r="N17" s="30"/>
      <c r="O17" s="8"/>
      <c r="P17" s="8"/>
      <c r="Q17" s="8"/>
      <c r="R17">
        <f t="shared" si="0"/>
        <v>250</v>
      </c>
      <c r="AO17" s="8">
        <v>6</v>
      </c>
      <c r="AP17" s="8">
        <v>1.8</v>
      </c>
      <c r="AQ17" s="8">
        <v>6</v>
      </c>
    </row>
    <row r="18" spans="1:43" ht="15" thickBot="1" x14ac:dyDescent="0.35">
      <c r="A18">
        <v>4</v>
      </c>
      <c r="B18" t="s">
        <v>99</v>
      </c>
      <c r="C18" t="s">
        <v>100</v>
      </c>
      <c r="D18" s="8">
        <v>11</v>
      </c>
      <c r="F18" s="8"/>
      <c r="G18" s="8">
        <v>5</v>
      </c>
      <c r="H18" s="27"/>
      <c r="I18" s="9"/>
      <c r="J18" s="8"/>
      <c r="K18" s="10">
        <v>10</v>
      </c>
      <c r="L18" s="7" t="s">
        <v>103</v>
      </c>
      <c r="M18" s="7"/>
      <c r="N18" s="30"/>
      <c r="O18" s="8"/>
      <c r="P18" s="8"/>
      <c r="Q18" s="8"/>
      <c r="R18">
        <f t="shared" si="0"/>
        <v>275</v>
      </c>
      <c r="AO18" s="8">
        <v>7</v>
      </c>
      <c r="AP18" s="8">
        <v>2.4</v>
      </c>
      <c r="AQ18" s="8">
        <v>7</v>
      </c>
    </row>
    <row r="19" spans="1:43" ht="15" thickBot="1" x14ac:dyDescent="0.35">
      <c r="A19">
        <v>4</v>
      </c>
      <c r="B19" t="s">
        <v>99</v>
      </c>
      <c r="C19" t="s">
        <v>100</v>
      </c>
      <c r="D19" s="8">
        <v>12</v>
      </c>
      <c r="F19" s="8"/>
      <c r="G19" s="8">
        <v>7</v>
      </c>
      <c r="H19" s="27"/>
      <c r="I19" s="9"/>
      <c r="J19" s="8"/>
      <c r="K19" s="8">
        <v>11</v>
      </c>
      <c r="L19" s="7" t="s">
        <v>103</v>
      </c>
      <c r="M19" s="7"/>
      <c r="N19" s="30"/>
      <c r="O19" s="8"/>
      <c r="P19" s="8"/>
      <c r="Q19" s="8"/>
      <c r="R19">
        <f t="shared" si="0"/>
        <v>300</v>
      </c>
      <c r="AO19" s="8">
        <v>8</v>
      </c>
      <c r="AP19" s="8">
        <v>3</v>
      </c>
      <c r="AQ19" s="8">
        <v>8</v>
      </c>
    </row>
    <row r="20" spans="1:43" ht="15" thickBot="1" x14ac:dyDescent="0.35">
      <c r="A20">
        <v>4</v>
      </c>
      <c r="B20" t="s">
        <v>99</v>
      </c>
      <c r="C20" t="s">
        <v>100</v>
      </c>
      <c r="D20" s="8">
        <v>13</v>
      </c>
      <c r="F20" s="8"/>
      <c r="G20" s="8">
        <v>8</v>
      </c>
      <c r="H20" s="27"/>
      <c r="I20" s="9"/>
      <c r="J20" s="8"/>
      <c r="K20" s="8">
        <v>12</v>
      </c>
      <c r="L20" s="7" t="s">
        <v>103</v>
      </c>
      <c r="M20" s="7"/>
      <c r="N20" s="30"/>
      <c r="O20" s="8"/>
      <c r="P20" s="8"/>
      <c r="Q20" s="8"/>
      <c r="R20">
        <f t="shared" si="0"/>
        <v>300</v>
      </c>
      <c r="AO20" s="8">
        <v>9</v>
      </c>
      <c r="AP20" s="8">
        <v>3.5</v>
      </c>
      <c r="AQ20" s="8">
        <v>9</v>
      </c>
    </row>
    <row r="21" spans="1:43" ht="15" thickBot="1" x14ac:dyDescent="0.35">
      <c r="A21">
        <v>4</v>
      </c>
      <c r="B21" t="s">
        <v>99</v>
      </c>
      <c r="C21" t="s">
        <v>100</v>
      </c>
      <c r="D21" s="8">
        <v>14</v>
      </c>
      <c r="F21" s="8"/>
      <c r="G21" s="8">
        <v>9</v>
      </c>
      <c r="H21" s="27"/>
      <c r="I21" s="9"/>
      <c r="J21" s="8"/>
      <c r="K21" s="8">
        <v>13</v>
      </c>
      <c r="L21" s="7" t="s">
        <v>103</v>
      </c>
      <c r="M21" s="7"/>
      <c r="N21" s="30"/>
      <c r="O21" s="8"/>
      <c r="P21" s="8"/>
      <c r="Q21" s="8"/>
      <c r="R21">
        <f t="shared" si="0"/>
        <v>300</v>
      </c>
      <c r="AO21" s="8">
        <v>10</v>
      </c>
      <c r="AP21" s="8">
        <v>4</v>
      </c>
      <c r="AQ21" s="8">
        <v>9</v>
      </c>
    </row>
    <row r="22" spans="1:43" ht="15" thickBot="1" x14ac:dyDescent="0.35">
      <c r="A22">
        <v>4</v>
      </c>
      <c r="B22" t="s">
        <v>99</v>
      </c>
      <c r="C22" t="s">
        <v>100</v>
      </c>
      <c r="D22" s="8">
        <v>15</v>
      </c>
      <c r="F22" s="8"/>
      <c r="G22" s="8">
        <v>10</v>
      </c>
      <c r="H22" s="27"/>
      <c r="I22" s="9"/>
      <c r="J22" s="8"/>
      <c r="K22" s="8">
        <v>14</v>
      </c>
      <c r="L22" s="7" t="s">
        <v>103</v>
      </c>
      <c r="M22" s="7"/>
      <c r="N22" s="30"/>
      <c r="O22" s="8"/>
      <c r="P22" s="8"/>
      <c r="Q22" s="8"/>
      <c r="R22">
        <f t="shared" si="0"/>
        <v>325</v>
      </c>
      <c r="AO22" s="8">
        <v>11</v>
      </c>
      <c r="AP22" s="8">
        <v>5</v>
      </c>
      <c r="AQ22" s="10">
        <v>10</v>
      </c>
    </row>
    <row r="23" spans="1:43" ht="15" thickBot="1" x14ac:dyDescent="0.35">
      <c r="A23">
        <v>4</v>
      </c>
      <c r="B23" t="s">
        <v>99</v>
      </c>
      <c r="C23" t="s">
        <v>100</v>
      </c>
      <c r="D23" s="8">
        <v>16</v>
      </c>
      <c r="F23" s="8"/>
      <c r="G23" s="8">
        <v>11</v>
      </c>
      <c r="H23" s="27"/>
      <c r="I23" s="9"/>
      <c r="J23" s="8"/>
      <c r="K23" s="8">
        <v>15</v>
      </c>
      <c r="L23" s="7" t="s">
        <v>103</v>
      </c>
      <c r="M23" s="7"/>
      <c r="N23" s="30"/>
      <c r="O23" s="8"/>
      <c r="P23" s="8"/>
      <c r="Q23" s="8"/>
      <c r="R23">
        <f t="shared" si="0"/>
        <v>325</v>
      </c>
      <c r="AO23" s="8">
        <v>12</v>
      </c>
      <c r="AP23" s="8">
        <v>7</v>
      </c>
      <c r="AQ23" s="8">
        <v>11</v>
      </c>
    </row>
    <row r="24" spans="1:43" ht="15" thickBot="1" x14ac:dyDescent="0.35">
      <c r="A24">
        <v>4</v>
      </c>
      <c r="B24" t="s">
        <v>99</v>
      </c>
      <c r="C24" t="s">
        <v>100</v>
      </c>
      <c r="D24" s="8">
        <v>17</v>
      </c>
      <c r="F24" s="8"/>
      <c r="G24" s="8">
        <v>12</v>
      </c>
      <c r="H24" s="27"/>
      <c r="I24" s="9"/>
      <c r="J24" s="8"/>
      <c r="K24" s="8">
        <v>16</v>
      </c>
      <c r="L24" s="7" t="s">
        <v>103</v>
      </c>
      <c r="M24" s="7"/>
      <c r="N24" s="30"/>
      <c r="O24" s="8"/>
      <c r="P24" s="8"/>
      <c r="Q24" s="8"/>
      <c r="R24">
        <f t="shared" si="0"/>
        <v>325</v>
      </c>
      <c r="AO24" s="8">
        <v>13</v>
      </c>
      <c r="AP24" s="8">
        <v>8</v>
      </c>
      <c r="AQ24" s="8">
        <v>12</v>
      </c>
    </row>
    <row r="25" spans="1:43" ht="15" thickBot="1" x14ac:dyDescent="0.35">
      <c r="A25">
        <v>4</v>
      </c>
      <c r="B25" t="s">
        <v>99</v>
      </c>
      <c r="C25" t="s">
        <v>100</v>
      </c>
      <c r="D25" s="8">
        <v>18</v>
      </c>
      <c r="F25" s="8"/>
      <c r="G25" s="8">
        <v>13</v>
      </c>
      <c r="H25" s="27"/>
      <c r="I25" s="9"/>
      <c r="J25" s="27"/>
      <c r="K25" s="8">
        <v>17</v>
      </c>
      <c r="L25" s="7" t="s">
        <v>103</v>
      </c>
      <c r="M25" s="7"/>
      <c r="N25" s="30"/>
      <c r="O25" s="8"/>
      <c r="P25" s="8"/>
      <c r="Q25" s="8"/>
      <c r="R25">
        <f t="shared" si="0"/>
        <v>325</v>
      </c>
      <c r="AO25" s="8">
        <v>14</v>
      </c>
      <c r="AP25" s="8">
        <v>9</v>
      </c>
      <c r="AQ25" s="8">
        <v>13</v>
      </c>
    </row>
    <row r="26" spans="1:43" ht="15" thickBot="1" x14ac:dyDescent="0.35">
      <c r="A26">
        <v>4</v>
      </c>
      <c r="B26" t="s">
        <v>99</v>
      </c>
      <c r="C26" t="s">
        <v>100</v>
      </c>
      <c r="D26" s="8">
        <v>19</v>
      </c>
      <c r="G26" s="8">
        <v>14</v>
      </c>
      <c r="K26" s="8">
        <v>18</v>
      </c>
      <c r="L26" s="7" t="s">
        <v>103</v>
      </c>
      <c r="R26">
        <f t="shared" si="0"/>
        <v>325</v>
      </c>
      <c r="AO26" s="8">
        <v>15</v>
      </c>
      <c r="AP26" s="8">
        <v>10</v>
      </c>
      <c r="AQ26" s="8">
        <v>14</v>
      </c>
    </row>
    <row r="27" spans="1:43" ht="15" thickBot="1" x14ac:dyDescent="0.35">
      <c r="AO27" s="8">
        <v>16</v>
      </c>
      <c r="AP27" s="8">
        <v>11</v>
      </c>
      <c r="AQ27" s="8">
        <v>15</v>
      </c>
    </row>
    <row r="28" spans="1:43" ht="15" thickBot="1" x14ac:dyDescent="0.35">
      <c r="AO28" s="8">
        <v>17</v>
      </c>
      <c r="AP28" s="8">
        <v>12</v>
      </c>
      <c r="AQ28" s="8">
        <v>16</v>
      </c>
    </row>
    <row r="29" spans="1:43" ht="15" thickBot="1" x14ac:dyDescent="0.35">
      <c r="AO29" s="8">
        <v>18</v>
      </c>
      <c r="AP29" s="8">
        <v>13</v>
      </c>
      <c r="AQ29" s="8">
        <v>17</v>
      </c>
    </row>
    <row r="30" spans="1:43" ht="15" thickBot="1" x14ac:dyDescent="0.35">
      <c r="AO30" s="8">
        <v>19</v>
      </c>
      <c r="AP30" s="8">
        <v>14</v>
      </c>
      <c r="AQ30" s="8">
        <v>18</v>
      </c>
    </row>
  </sheetData>
  <mergeCells count="3">
    <mergeCell ref="AQ10:AQ11"/>
    <mergeCell ref="AO10:AO11"/>
    <mergeCell ref="AP10:AP11"/>
  </mergeCells>
  <phoneticPr fontId="22" type="noConversion"/>
  <hyperlinks>
    <hyperlink ref="J7" r:id="rId1" tooltip="Experience" display="https://clashofclans.fandom.com/wiki/Experience" xr:uid="{517B9CB8-732A-46AE-9AD3-301DF56A4DD8}"/>
    <hyperlink ref="K7" r:id="rId2" tooltip="Town Hall" display="https://clashofclans.fandom.com/wiki/Town_Hall" xr:uid="{C16FAA53-883C-401D-AA78-20CE0BDF198C}"/>
    <hyperlink ref="U7" r:id="rId3" tooltip="Town Hall" display="https://clashofclans.fandom.com/wiki/Town_Hall" xr:uid="{F362BD4C-C9BE-45BC-8ACC-85E36E773947}"/>
    <hyperlink ref="K5" r:id="rId4" tooltip="Town Hall" display="https://clashofclans.fandom.com/wiki/Town_Hall" xr:uid="{64F3A10F-7F43-4738-8092-A3DB8B3690A5}"/>
    <hyperlink ref="AQ10" r:id="rId5" tooltip="Town Hall" display="https://clashofclans.fandom.com/wiki/Town_Hall" xr:uid="{6014F47C-14F3-47A5-8757-7CC3581663E6}"/>
  </hyperlinks>
  <pageMargins left="0.7" right="0.7" top="0.75" bottom="0.75" header="0.3" footer="0.3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BF0-AEF2-4861-8D8E-4DCFDFFB41E6}">
  <dimension ref="A3:AM25"/>
  <sheetViews>
    <sheetView topLeftCell="A16" workbookViewId="0">
      <selection activeCell="O9" sqref="O9:Q2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1093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6" spans="1:39" ht="28.2" customHeight="1" thickBot="1" x14ac:dyDescent="0.35">
      <c r="L6" s="23"/>
      <c r="M6" s="31"/>
    </row>
    <row r="7" spans="1:39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39" ht="53.4" thickBot="1" x14ac:dyDescent="0.35">
      <c r="A8">
        <v>3</v>
      </c>
      <c r="B8" t="s">
        <v>88</v>
      </c>
      <c r="C8" t="s">
        <v>87</v>
      </c>
      <c r="D8" s="8">
        <v>1</v>
      </c>
      <c r="E8" s="8">
        <v>4</v>
      </c>
      <c r="F8" s="8">
        <v>20</v>
      </c>
      <c r="G8" s="8">
        <v>400</v>
      </c>
      <c r="H8" s="27">
        <v>5000</v>
      </c>
      <c r="I8" s="9" t="s">
        <v>22</v>
      </c>
      <c r="J8" s="8">
        <v>42</v>
      </c>
      <c r="K8" s="8">
        <v>3</v>
      </c>
      <c r="L8" s="7" t="s">
        <v>5</v>
      </c>
      <c r="M8" s="7">
        <v>4</v>
      </c>
      <c r="N8" s="30">
        <v>11</v>
      </c>
      <c r="O8" s="8" t="s">
        <v>15</v>
      </c>
      <c r="P8" s="8" t="s">
        <v>96</v>
      </c>
      <c r="Q8" s="8" t="s">
        <v>50</v>
      </c>
      <c r="R8">
        <f>INDEX($V$8:$AM$8,MATCH(K8,$V$7:$AM$7,0))</f>
        <v>1</v>
      </c>
      <c r="U8" s="3" t="s">
        <v>1</v>
      </c>
      <c r="V8" s="5">
        <v>0</v>
      </c>
      <c r="W8" s="5">
        <v>0</v>
      </c>
      <c r="X8" s="4">
        <v>1</v>
      </c>
      <c r="Y8" s="5">
        <v>1</v>
      </c>
      <c r="Z8" s="5">
        <v>1</v>
      </c>
      <c r="AA8" s="4">
        <v>2</v>
      </c>
      <c r="AB8" s="4">
        <v>3</v>
      </c>
      <c r="AC8" s="4">
        <v>4</v>
      </c>
      <c r="AD8" s="5">
        <v>4</v>
      </c>
      <c r="AE8" s="5">
        <v>4</v>
      </c>
      <c r="AF8" s="5">
        <v>4</v>
      </c>
      <c r="AG8" s="5">
        <v>4</v>
      </c>
      <c r="AH8" s="5">
        <v>4</v>
      </c>
      <c r="AI8" s="5">
        <v>4</v>
      </c>
      <c r="AJ8" s="5">
        <v>4</v>
      </c>
      <c r="AK8" s="5">
        <v>4</v>
      </c>
      <c r="AL8" s="5">
        <v>4</v>
      </c>
      <c r="AM8" s="5">
        <v>4</v>
      </c>
    </row>
    <row r="9" spans="1:39" ht="27" thickBot="1" x14ac:dyDescent="0.35">
      <c r="A9">
        <v>3</v>
      </c>
      <c r="B9" t="s">
        <v>88</v>
      </c>
      <c r="C9" t="s">
        <v>87</v>
      </c>
      <c r="D9" s="8">
        <v>2</v>
      </c>
      <c r="E9" s="8">
        <v>5</v>
      </c>
      <c r="F9" s="8">
        <v>25</v>
      </c>
      <c r="G9" s="8">
        <v>450</v>
      </c>
      <c r="H9" s="27">
        <v>25000</v>
      </c>
      <c r="I9" s="9" t="s">
        <v>23</v>
      </c>
      <c r="J9" s="8">
        <v>60</v>
      </c>
      <c r="K9" s="8">
        <v>4</v>
      </c>
      <c r="L9" s="7" t="s">
        <v>5</v>
      </c>
      <c r="M9" s="7">
        <v>4</v>
      </c>
      <c r="N9" s="30">
        <v>11</v>
      </c>
      <c r="O9" s="8" t="s">
        <v>15</v>
      </c>
      <c r="P9" s="8" t="s">
        <v>96</v>
      </c>
      <c r="Q9" s="8" t="s">
        <v>50</v>
      </c>
      <c r="R9">
        <f>INDEX($V$8:$AM$8,MATCH(K9,$V$7:$AM$7,0))</f>
        <v>1</v>
      </c>
      <c r="V9" s="3"/>
    </row>
    <row r="10" spans="1:39" ht="27" thickBot="1" x14ac:dyDescent="0.35">
      <c r="A10">
        <v>3</v>
      </c>
      <c r="B10" t="s">
        <v>88</v>
      </c>
      <c r="C10" t="s">
        <v>87</v>
      </c>
      <c r="D10" s="8">
        <v>3</v>
      </c>
      <c r="E10" s="8">
        <v>6</v>
      </c>
      <c r="F10" s="8">
        <v>30</v>
      </c>
      <c r="G10" s="8">
        <v>500</v>
      </c>
      <c r="H10" s="27">
        <v>90000</v>
      </c>
      <c r="I10" s="9" t="s">
        <v>24</v>
      </c>
      <c r="J10" s="8">
        <v>84</v>
      </c>
      <c r="K10" s="10">
        <v>5</v>
      </c>
      <c r="L10" s="7" t="s">
        <v>5</v>
      </c>
      <c r="M10" s="7">
        <v>4</v>
      </c>
      <c r="N10" s="30">
        <v>11</v>
      </c>
      <c r="O10" s="8" t="s">
        <v>15</v>
      </c>
      <c r="P10" s="8" t="s">
        <v>96</v>
      </c>
      <c r="Q10" s="8" t="s">
        <v>50</v>
      </c>
      <c r="R10">
        <f>INDEX($V$8:$AM$8,MATCH(K10,$V$7:$AM$7,0))</f>
        <v>1</v>
      </c>
    </row>
    <row r="11" spans="1:39" ht="27" thickBot="1" x14ac:dyDescent="0.35">
      <c r="A11">
        <v>3</v>
      </c>
      <c r="B11" t="s">
        <v>88</v>
      </c>
      <c r="C11" t="s">
        <v>87</v>
      </c>
      <c r="D11" s="8">
        <v>4</v>
      </c>
      <c r="E11" s="8">
        <v>7</v>
      </c>
      <c r="F11" s="8">
        <v>35</v>
      </c>
      <c r="G11" s="8">
        <v>550</v>
      </c>
      <c r="H11" s="27">
        <v>180000</v>
      </c>
      <c r="I11" s="9" t="s">
        <v>26</v>
      </c>
      <c r="J11" s="8">
        <v>103</v>
      </c>
      <c r="K11" s="8">
        <v>6</v>
      </c>
      <c r="L11" s="7" t="s">
        <v>5</v>
      </c>
      <c r="M11" s="7">
        <v>4</v>
      </c>
      <c r="N11" s="30">
        <v>11</v>
      </c>
      <c r="O11" s="8" t="s">
        <v>15</v>
      </c>
      <c r="P11" s="8" t="s">
        <v>96</v>
      </c>
      <c r="Q11" s="8" t="s">
        <v>50</v>
      </c>
      <c r="R11">
        <f>INDEX($V$8:$AM$8,MATCH(K11,$V$7:$AM$7,0))</f>
        <v>2</v>
      </c>
    </row>
    <row r="12" spans="1:39" ht="27" thickBot="1" x14ac:dyDescent="0.35">
      <c r="A12">
        <v>3</v>
      </c>
      <c r="B12" t="s">
        <v>88</v>
      </c>
      <c r="C12" t="s">
        <v>87</v>
      </c>
      <c r="D12" s="8">
        <v>5</v>
      </c>
      <c r="E12" s="8">
        <v>9</v>
      </c>
      <c r="F12" s="8">
        <v>45</v>
      </c>
      <c r="G12" s="8">
        <v>600</v>
      </c>
      <c r="H12" s="27">
        <v>300000</v>
      </c>
      <c r="I12" s="9" t="s">
        <v>34</v>
      </c>
      <c r="J12" s="8">
        <v>146</v>
      </c>
      <c r="K12" s="8">
        <v>7</v>
      </c>
      <c r="L12" s="7" t="s">
        <v>5</v>
      </c>
      <c r="M12" s="7">
        <v>4</v>
      </c>
      <c r="N12" s="30">
        <v>11</v>
      </c>
      <c r="O12" s="8" t="s">
        <v>15</v>
      </c>
      <c r="P12" s="8" t="s">
        <v>96</v>
      </c>
      <c r="Q12" s="8" t="s">
        <v>50</v>
      </c>
      <c r="R12">
        <f>INDEX($V$8:$AM$8,MATCH(K12,$V$7:$AM$7,0))</f>
        <v>3</v>
      </c>
    </row>
    <row r="13" spans="1:39" ht="27" thickBot="1" x14ac:dyDescent="0.35">
      <c r="A13">
        <v>3</v>
      </c>
      <c r="B13" t="s">
        <v>88</v>
      </c>
      <c r="C13" t="s">
        <v>87</v>
      </c>
      <c r="D13" s="8">
        <v>6</v>
      </c>
      <c r="E13" s="8">
        <v>11</v>
      </c>
      <c r="F13" s="8">
        <v>55</v>
      </c>
      <c r="G13" s="8">
        <v>650</v>
      </c>
      <c r="H13" s="27">
        <v>500000</v>
      </c>
      <c r="I13" s="9" t="s">
        <v>36</v>
      </c>
      <c r="J13" s="8">
        <v>169</v>
      </c>
      <c r="K13" s="8">
        <v>8</v>
      </c>
      <c r="L13" s="7" t="s">
        <v>5</v>
      </c>
      <c r="M13" s="7">
        <v>4</v>
      </c>
      <c r="N13" s="30">
        <v>11</v>
      </c>
      <c r="O13" s="8" t="s">
        <v>15</v>
      </c>
      <c r="P13" s="8" t="s">
        <v>96</v>
      </c>
      <c r="Q13" s="8" t="s">
        <v>50</v>
      </c>
      <c r="R13">
        <f>INDEX($V$8:$AM$8,MATCH(K13,$V$7:$AM$7,0))</f>
        <v>4</v>
      </c>
    </row>
    <row r="14" spans="1:39" ht="27" thickBot="1" x14ac:dyDescent="0.35">
      <c r="A14">
        <v>3</v>
      </c>
      <c r="B14" t="s">
        <v>88</v>
      </c>
      <c r="C14" t="s">
        <v>87</v>
      </c>
      <c r="D14" s="8">
        <v>7</v>
      </c>
      <c r="E14" s="8">
        <v>15</v>
      </c>
      <c r="F14" s="8">
        <v>75</v>
      </c>
      <c r="G14" s="8">
        <v>700</v>
      </c>
      <c r="H14" s="27">
        <v>900000</v>
      </c>
      <c r="I14" s="9" t="s">
        <v>39</v>
      </c>
      <c r="J14" s="8">
        <v>207</v>
      </c>
      <c r="K14" s="10">
        <v>9</v>
      </c>
      <c r="L14" s="7" t="s">
        <v>5</v>
      </c>
      <c r="M14" s="7">
        <v>4</v>
      </c>
      <c r="N14" s="30">
        <v>11</v>
      </c>
      <c r="O14" s="8" t="s">
        <v>15</v>
      </c>
      <c r="P14" s="8" t="s">
        <v>96</v>
      </c>
      <c r="Q14" s="8" t="s">
        <v>50</v>
      </c>
      <c r="R14">
        <f>INDEX($V$8:$AM$8,MATCH(K14,$V$7:$AM$7,0))</f>
        <v>4</v>
      </c>
    </row>
    <row r="15" spans="1:39" ht="27" thickBot="1" x14ac:dyDescent="0.35">
      <c r="A15">
        <v>3</v>
      </c>
      <c r="B15" t="s">
        <v>88</v>
      </c>
      <c r="C15" t="s">
        <v>87</v>
      </c>
      <c r="D15" s="8">
        <v>8</v>
      </c>
      <c r="E15" s="8">
        <v>20</v>
      </c>
      <c r="F15" s="8">
        <v>100</v>
      </c>
      <c r="G15" s="8">
        <v>800</v>
      </c>
      <c r="H15" s="27">
        <v>1200000</v>
      </c>
      <c r="I15" s="9" t="s">
        <v>89</v>
      </c>
      <c r="J15" s="8">
        <v>254</v>
      </c>
      <c r="K15" s="8">
        <v>10</v>
      </c>
      <c r="L15" s="7" t="s">
        <v>5</v>
      </c>
      <c r="M15" s="7">
        <v>4</v>
      </c>
      <c r="N15" s="30">
        <v>11</v>
      </c>
      <c r="O15" s="8" t="s">
        <v>15</v>
      </c>
      <c r="P15" s="8" t="s">
        <v>96</v>
      </c>
      <c r="Q15" s="8" t="s">
        <v>50</v>
      </c>
      <c r="R15">
        <f>INDEX($V$8:$AM$8,MATCH(K15,$V$7:$AM$7,0))</f>
        <v>4</v>
      </c>
    </row>
    <row r="16" spans="1:39" ht="27" thickBot="1" x14ac:dyDescent="0.35">
      <c r="A16">
        <v>3</v>
      </c>
      <c r="B16" t="s">
        <v>88</v>
      </c>
      <c r="C16" t="s">
        <v>87</v>
      </c>
      <c r="D16" s="8">
        <v>9</v>
      </c>
      <c r="E16" s="8">
        <v>25</v>
      </c>
      <c r="F16" s="8">
        <v>125</v>
      </c>
      <c r="G16" s="8">
        <v>950</v>
      </c>
      <c r="H16" s="27">
        <v>1600000</v>
      </c>
      <c r="I16" s="9" t="s">
        <v>42</v>
      </c>
      <c r="J16" s="8">
        <v>268</v>
      </c>
      <c r="K16" s="8">
        <v>11</v>
      </c>
      <c r="L16" s="7" t="s">
        <v>5</v>
      </c>
      <c r="M16" s="7">
        <v>4</v>
      </c>
      <c r="N16" s="30">
        <v>11</v>
      </c>
      <c r="O16" s="8" t="s">
        <v>15</v>
      </c>
      <c r="P16" s="8" t="s">
        <v>96</v>
      </c>
      <c r="Q16" s="8" t="s">
        <v>50</v>
      </c>
      <c r="R16">
        <f>INDEX($V$8:$AM$8,MATCH(K16,$V$7:$AM$7,0))</f>
        <v>4</v>
      </c>
    </row>
    <row r="17" spans="1:18" ht="27" thickBot="1" x14ac:dyDescent="0.35">
      <c r="A17">
        <v>3</v>
      </c>
      <c r="B17" t="s">
        <v>88</v>
      </c>
      <c r="C17" t="s">
        <v>87</v>
      </c>
      <c r="D17" s="8">
        <v>10</v>
      </c>
      <c r="E17" s="8">
        <v>30</v>
      </c>
      <c r="F17" s="8">
        <v>150</v>
      </c>
      <c r="G17" s="27">
        <v>1100</v>
      </c>
      <c r="H17" s="27">
        <v>1800000</v>
      </c>
      <c r="I17" s="9" t="s">
        <v>43</v>
      </c>
      <c r="J17" s="8">
        <v>293</v>
      </c>
      <c r="K17" s="8">
        <v>11</v>
      </c>
      <c r="L17" s="7" t="s">
        <v>5</v>
      </c>
      <c r="M17" s="7">
        <v>4</v>
      </c>
      <c r="N17" s="30">
        <v>11</v>
      </c>
      <c r="O17" s="8" t="s">
        <v>15</v>
      </c>
      <c r="P17" s="8" t="s">
        <v>96</v>
      </c>
      <c r="Q17" s="8" t="s">
        <v>50</v>
      </c>
      <c r="R17">
        <f>INDEX($V$8:$AM$8,MATCH(K17,$V$7:$AM$7,0))</f>
        <v>4</v>
      </c>
    </row>
    <row r="18" spans="1:18" ht="27" thickBot="1" x14ac:dyDescent="0.35">
      <c r="A18">
        <v>3</v>
      </c>
      <c r="B18" t="s">
        <v>88</v>
      </c>
      <c r="C18" t="s">
        <v>87</v>
      </c>
      <c r="D18" s="8">
        <v>11</v>
      </c>
      <c r="E18" s="8">
        <v>35</v>
      </c>
      <c r="F18" s="8">
        <v>175</v>
      </c>
      <c r="G18" s="27">
        <v>1300</v>
      </c>
      <c r="H18" s="27">
        <v>2300000</v>
      </c>
      <c r="I18" s="9" t="s">
        <v>78</v>
      </c>
      <c r="J18" s="8">
        <v>328</v>
      </c>
      <c r="K18" s="10">
        <v>12</v>
      </c>
      <c r="L18" s="7" t="s">
        <v>5</v>
      </c>
      <c r="M18" s="7">
        <v>4</v>
      </c>
      <c r="N18" s="30">
        <v>11</v>
      </c>
      <c r="O18" s="8" t="s">
        <v>15</v>
      </c>
      <c r="P18" s="8" t="s">
        <v>96</v>
      </c>
      <c r="Q18" s="8" t="s">
        <v>50</v>
      </c>
      <c r="R18">
        <f>INDEX($V$8:$AM$8,MATCH(K18,$V$7:$AM$7,0))</f>
        <v>4</v>
      </c>
    </row>
    <row r="19" spans="1:18" ht="27" thickBot="1" x14ac:dyDescent="0.35">
      <c r="A19">
        <v>3</v>
      </c>
      <c r="B19" t="s">
        <v>88</v>
      </c>
      <c r="C19" t="s">
        <v>87</v>
      </c>
      <c r="D19" s="8">
        <v>12</v>
      </c>
      <c r="E19" s="8">
        <v>38</v>
      </c>
      <c r="F19" s="8">
        <v>190</v>
      </c>
      <c r="G19" s="27">
        <v>1500</v>
      </c>
      <c r="H19" s="27">
        <v>2400000</v>
      </c>
      <c r="I19" s="9" t="s">
        <v>44</v>
      </c>
      <c r="J19" s="8">
        <v>360</v>
      </c>
      <c r="K19" s="8">
        <v>12</v>
      </c>
      <c r="L19" s="7" t="s">
        <v>5</v>
      </c>
      <c r="M19" s="7">
        <v>4</v>
      </c>
      <c r="N19" s="30">
        <v>11</v>
      </c>
      <c r="O19" s="8" t="s">
        <v>15</v>
      </c>
      <c r="P19" s="8" t="s">
        <v>96</v>
      </c>
      <c r="Q19" s="8" t="s">
        <v>50</v>
      </c>
      <c r="R19">
        <f>INDEX($V$8:$AM$8,MATCH(K19,$V$7:$AM$7,0))</f>
        <v>4</v>
      </c>
    </row>
    <row r="20" spans="1:18" ht="27" thickBot="1" x14ac:dyDescent="0.35">
      <c r="A20">
        <v>3</v>
      </c>
      <c r="B20" t="s">
        <v>88</v>
      </c>
      <c r="C20" t="s">
        <v>87</v>
      </c>
      <c r="D20" s="8">
        <v>13</v>
      </c>
      <c r="E20" s="8">
        <v>42</v>
      </c>
      <c r="F20" s="8">
        <v>210</v>
      </c>
      <c r="G20" s="27">
        <v>1700</v>
      </c>
      <c r="H20" s="27">
        <v>2800000</v>
      </c>
      <c r="I20" s="9" t="s">
        <v>82</v>
      </c>
      <c r="J20" s="8">
        <v>415</v>
      </c>
      <c r="K20" s="8">
        <v>13</v>
      </c>
      <c r="L20" s="7" t="s">
        <v>5</v>
      </c>
      <c r="M20" s="7">
        <v>4</v>
      </c>
      <c r="N20" s="30">
        <v>11</v>
      </c>
      <c r="O20" s="8" t="s">
        <v>15</v>
      </c>
      <c r="P20" s="8" t="s">
        <v>96</v>
      </c>
      <c r="Q20" s="8" t="s">
        <v>50</v>
      </c>
      <c r="R20">
        <f>INDEX($V$8:$AM$8,MATCH(K20,$V$7:$AM$7,0))</f>
        <v>4</v>
      </c>
    </row>
    <row r="21" spans="1:18" ht="27" thickBot="1" x14ac:dyDescent="0.35">
      <c r="A21">
        <v>3</v>
      </c>
      <c r="B21" t="s">
        <v>88</v>
      </c>
      <c r="C21" t="s">
        <v>87</v>
      </c>
      <c r="D21" s="8">
        <v>14</v>
      </c>
      <c r="E21" s="8">
        <v>48</v>
      </c>
      <c r="F21" s="8">
        <v>240</v>
      </c>
      <c r="G21" s="27">
        <v>1950</v>
      </c>
      <c r="H21" s="27">
        <v>4300000</v>
      </c>
      <c r="I21" s="9" t="s">
        <v>90</v>
      </c>
      <c r="J21" s="8">
        <v>464</v>
      </c>
      <c r="K21" s="10">
        <v>14</v>
      </c>
      <c r="L21" s="7" t="s">
        <v>5</v>
      </c>
      <c r="M21" s="7">
        <v>4</v>
      </c>
      <c r="N21" s="30">
        <v>11</v>
      </c>
      <c r="O21" s="8" t="s">
        <v>15</v>
      </c>
      <c r="P21" s="8" t="s">
        <v>96</v>
      </c>
      <c r="Q21" s="8" t="s">
        <v>50</v>
      </c>
      <c r="R21">
        <f>INDEX($V$8:$AM$8,MATCH(K21,$V$7:$AM$7,0))</f>
        <v>4</v>
      </c>
    </row>
    <row r="22" spans="1:18" ht="27" thickBot="1" x14ac:dyDescent="0.35">
      <c r="A22">
        <v>3</v>
      </c>
      <c r="B22" t="s">
        <v>88</v>
      </c>
      <c r="C22" t="s">
        <v>87</v>
      </c>
      <c r="D22" s="8">
        <v>15</v>
      </c>
      <c r="E22" s="8">
        <v>54</v>
      </c>
      <c r="F22" s="8">
        <v>270</v>
      </c>
      <c r="G22" s="27">
        <v>2150</v>
      </c>
      <c r="H22" s="27">
        <v>5000000</v>
      </c>
      <c r="I22" s="9" t="s">
        <v>91</v>
      </c>
      <c r="J22" s="8">
        <v>509</v>
      </c>
      <c r="K22" s="8">
        <v>15</v>
      </c>
      <c r="L22" s="7" t="s">
        <v>5</v>
      </c>
      <c r="M22" s="7">
        <v>4</v>
      </c>
      <c r="N22" s="30">
        <v>11</v>
      </c>
      <c r="O22" s="8" t="s">
        <v>15</v>
      </c>
      <c r="P22" s="8" t="s">
        <v>96</v>
      </c>
      <c r="Q22" s="8" t="s">
        <v>50</v>
      </c>
      <c r="R22">
        <f>INDEX($V$8:$AM$8,MATCH(K22,$V$7:$AM$7,0))</f>
        <v>4</v>
      </c>
    </row>
    <row r="23" spans="1:18" ht="27" thickBot="1" x14ac:dyDescent="0.35">
      <c r="A23">
        <v>3</v>
      </c>
      <c r="B23" t="s">
        <v>88</v>
      </c>
      <c r="C23" t="s">
        <v>87</v>
      </c>
      <c r="D23" s="8">
        <v>16</v>
      </c>
      <c r="E23" s="8">
        <v>60</v>
      </c>
      <c r="F23" s="8">
        <v>300</v>
      </c>
      <c r="G23" s="27">
        <v>2300</v>
      </c>
      <c r="H23" s="27">
        <v>7000000</v>
      </c>
      <c r="I23" s="9" t="s">
        <v>92</v>
      </c>
      <c r="J23" s="8">
        <v>587</v>
      </c>
      <c r="K23" s="10">
        <v>16</v>
      </c>
      <c r="L23" s="7" t="s">
        <v>5</v>
      </c>
      <c r="M23" s="7">
        <v>4</v>
      </c>
      <c r="N23" s="30">
        <v>11</v>
      </c>
      <c r="O23" s="8" t="s">
        <v>15</v>
      </c>
      <c r="P23" s="8" t="s">
        <v>96</v>
      </c>
      <c r="Q23" s="8" t="s">
        <v>50</v>
      </c>
      <c r="R23">
        <f>INDEX($V$8:$AM$8,MATCH(K23,$V$7:$AM$7,0))</f>
        <v>4</v>
      </c>
    </row>
    <row r="24" spans="1:18" ht="27" thickBot="1" x14ac:dyDescent="0.35">
      <c r="A24">
        <v>3</v>
      </c>
      <c r="B24" t="s">
        <v>88</v>
      </c>
      <c r="C24" t="s">
        <v>87</v>
      </c>
      <c r="D24" s="8">
        <v>17</v>
      </c>
      <c r="E24" s="8">
        <v>66</v>
      </c>
      <c r="F24" s="8">
        <v>330</v>
      </c>
      <c r="G24" s="27">
        <v>2450</v>
      </c>
      <c r="H24" s="27">
        <v>13000000</v>
      </c>
      <c r="I24" s="9" t="s">
        <v>94</v>
      </c>
      <c r="J24" s="8">
        <v>657</v>
      </c>
      <c r="K24" s="8">
        <v>17</v>
      </c>
      <c r="L24" s="7" t="s">
        <v>5</v>
      </c>
      <c r="M24" s="7">
        <v>4</v>
      </c>
      <c r="N24" s="30">
        <v>11</v>
      </c>
      <c r="O24" s="8" t="s">
        <v>15</v>
      </c>
      <c r="P24" s="8" t="s">
        <v>96</v>
      </c>
      <c r="Q24" s="8" t="s">
        <v>50</v>
      </c>
      <c r="R24">
        <f>INDEX($V$8:$AM$8,MATCH(K24,$V$7:$AM$7,0))</f>
        <v>4</v>
      </c>
    </row>
    <row r="25" spans="1:18" ht="27" thickBot="1" x14ac:dyDescent="0.35">
      <c r="A25">
        <v>3</v>
      </c>
      <c r="B25" t="s">
        <v>88</v>
      </c>
      <c r="C25" t="s">
        <v>87</v>
      </c>
      <c r="D25" s="8">
        <v>18</v>
      </c>
      <c r="E25" s="8">
        <v>72</v>
      </c>
      <c r="F25" s="8">
        <v>360</v>
      </c>
      <c r="G25" s="27">
        <v>2550</v>
      </c>
      <c r="H25" s="27">
        <v>21000000</v>
      </c>
      <c r="I25" s="9" t="s">
        <v>95</v>
      </c>
      <c r="J25" s="27">
        <v>1039</v>
      </c>
      <c r="K25" s="10">
        <v>18</v>
      </c>
      <c r="L25" s="7" t="s">
        <v>5</v>
      </c>
      <c r="M25" s="7">
        <v>4</v>
      </c>
      <c r="N25" s="30">
        <v>11</v>
      </c>
      <c r="O25" s="8" t="s">
        <v>15</v>
      </c>
      <c r="P25" s="8" t="s">
        <v>96</v>
      </c>
      <c r="Q25" s="8" t="s">
        <v>50</v>
      </c>
      <c r="R25">
        <f>INDEX($V$8:$AM$8,MATCH(K25,$V$7:$AM$7,0))</f>
        <v>4</v>
      </c>
    </row>
  </sheetData>
  <hyperlinks>
    <hyperlink ref="J7" r:id="rId1" tooltip="Experience" display="https://clashofclans.fandom.com/wiki/Experience" xr:uid="{0ECC5685-CA06-4A75-A7E4-ACAEE015562C}"/>
    <hyperlink ref="K7" r:id="rId2" tooltip="Town Hall" display="https://clashofclans.fandom.com/wiki/Town_Hall" xr:uid="{F1DE46AD-9819-4431-9439-5B9515EB4496}"/>
    <hyperlink ref="U7" r:id="rId3" tooltip="Town Hall" display="https://clashofclans.fandom.com/wiki/Town_Hall" xr:uid="{299E3710-9548-4BE2-8619-532487D5F86C}"/>
  </hyperlinks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1346-2BF0-4921-9BE2-468AE4CA80E7}">
  <dimension ref="A3:AL28"/>
  <sheetViews>
    <sheetView topLeftCell="A16" workbookViewId="0">
      <selection activeCell="N8" sqref="N8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3"/>
      <c r="M6" s="31"/>
    </row>
    <row r="7" spans="1:38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9" t="s">
        <v>8</v>
      </c>
      <c r="G7" s="29" t="s">
        <v>9</v>
      </c>
      <c r="H7" s="29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2</v>
      </c>
      <c r="B8" t="s">
        <v>86</v>
      </c>
      <c r="C8" t="s">
        <v>85</v>
      </c>
      <c r="D8" s="8">
        <v>1</v>
      </c>
      <c r="E8" s="8">
        <v>11</v>
      </c>
      <c r="F8" s="8" t="s">
        <v>68</v>
      </c>
      <c r="G8" s="8">
        <v>380</v>
      </c>
      <c r="H8" s="27">
        <v>1000</v>
      </c>
      <c r="I8" s="9" t="s">
        <v>69</v>
      </c>
      <c r="J8" s="8">
        <v>3</v>
      </c>
      <c r="K8" s="8">
        <v>2</v>
      </c>
      <c r="L8" s="7" t="s">
        <v>5</v>
      </c>
      <c r="M8" s="8">
        <v>10</v>
      </c>
      <c r="N8" s="8">
        <v>10</v>
      </c>
      <c r="O8" s="8" t="s">
        <v>83</v>
      </c>
      <c r="P8" s="8" t="s">
        <v>49</v>
      </c>
      <c r="Q8" s="8" t="s">
        <v>84</v>
      </c>
      <c r="R8">
        <f>INDEX($U$8:$AL$8,MATCH(K8,$U$7:$AL$7,0))</f>
        <v>1</v>
      </c>
      <c r="T8" s="3" t="s">
        <v>1</v>
      </c>
      <c r="U8" s="5">
        <v>0</v>
      </c>
      <c r="V8" s="4">
        <v>1</v>
      </c>
      <c r="W8" s="5">
        <v>1</v>
      </c>
      <c r="X8" s="4">
        <v>2</v>
      </c>
      <c r="Y8" s="4">
        <v>3</v>
      </c>
      <c r="Z8" s="5">
        <v>3</v>
      </c>
      <c r="AA8" s="4">
        <v>4</v>
      </c>
      <c r="AB8" s="4">
        <v>5</v>
      </c>
      <c r="AC8" s="4">
        <v>6</v>
      </c>
      <c r="AD8" s="4">
        <v>7</v>
      </c>
      <c r="AE8" s="4">
        <v>8</v>
      </c>
      <c r="AF8" s="5">
        <v>8</v>
      </c>
      <c r="AG8" s="5">
        <v>8</v>
      </c>
      <c r="AH8" s="5">
        <v>8</v>
      </c>
      <c r="AI8" s="5">
        <v>8</v>
      </c>
      <c r="AJ8" s="4" t="s">
        <v>66</v>
      </c>
      <c r="AK8" s="4" t="s">
        <v>67</v>
      </c>
      <c r="AL8" s="5" t="s">
        <v>67</v>
      </c>
    </row>
    <row r="9" spans="1:38" ht="27" thickBot="1" x14ac:dyDescent="0.35">
      <c r="A9">
        <v>2</v>
      </c>
      <c r="B9" t="s">
        <v>86</v>
      </c>
      <c r="C9" t="s">
        <v>85</v>
      </c>
      <c r="D9" s="8">
        <v>2</v>
      </c>
      <c r="E9" s="8">
        <v>15</v>
      </c>
      <c r="F9" s="8" t="s">
        <v>70</v>
      </c>
      <c r="G9" s="8">
        <v>420</v>
      </c>
      <c r="H9" s="27">
        <v>2000</v>
      </c>
      <c r="I9" s="9" t="s">
        <v>18</v>
      </c>
      <c r="J9" s="8">
        <v>10</v>
      </c>
      <c r="K9" s="8">
        <v>2</v>
      </c>
      <c r="L9" s="7" t="s">
        <v>5</v>
      </c>
      <c r="M9" s="8">
        <v>10</v>
      </c>
      <c r="N9" s="8">
        <v>10</v>
      </c>
      <c r="O9" s="8" t="s">
        <v>83</v>
      </c>
      <c r="P9" s="8" t="s">
        <v>49</v>
      </c>
      <c r="Q9" s="8" t="s">
        <v>84</v>
      </c>
      <c r="R9">
        <f>INDEX($U$8:$AL$8,MATCH(K9,$U$7:$AL$7,0))</f>
        <v>1</v>
      </c>
    </row>
    <row r="10" spans="1:38" ht="27" thickBot="1" x14ac:dyDescent="0.35">
      <c r="A10">
        <v>2</v>
      </c>
      <c r="B10" t="s">
        <v>86</v>
      </c>
      <c r="C10" t="s">
        <v>85</v>
      </c>
      <c r="D10" s="8">
        <v>3</v>
      </c>
      <c r="E10" s="8">
        <v>19</v>
      </c>
      <c r="F10" s="8" t="s">
        <v>71</v>
      </c>
      <c r="G10" s="8">
        <v>460</v>
      </c>
      <c r="H10" s="27">
        <v>5000</v>
      </c>
      <c r="I10" s="9" t="s">
        <v>20</v>
      </c>
      <c r="J10" s="8">
        <v>34</v>
      </c>
      <c r="K10" s="10">
        <v>3</v>
      </c>
      <c r="L10" s="7" t="s">
        <v>5</v>
      </c>
      <c r="M10" s="8">
        <v>10</v>
      </c>
      <c r="N10" s="8">
        <v>10</v>
      </c>
      <c r="O10" s="8" t="s">
        <v>83</v>
      </c>
      <c r="P10" s="8" t="s">
        <v>49</v>
      </c>
      <c r="Q10" s="8" t="s">
        <v>84</v>
      </c>
      <c r="R10">
        <f>INDEX($U$8:$AL$8,MATCH(K10,$U$7:$AL$7,0))</f>
        <v>1</v>
      </c>
    </row>
    <row r="11" spans="1:38" ht="27" thickBot="1" x14ac:dyDescent="0.35">
      <c r="A11">
        <v>2</v>
      </c>
      <c r="B11" t="s">
        <v>86</v>
      </c>
      <c r="C11" t="s">
        <v>85</v>
      </c>
      <c r="D11" s="8">
        <v>4</v>
      </c>
      <c r="E11" s="8">
        <v>25</v>
      </c>
      <c r="F11" s="8" t="s">
        <v>72</v>
      </c>
      <c r="G11" s="8">
        <v>500</v>
      </c>
      <c r="H11" s="27">
        <v>20000</v>
      </c>
      <c r="I11" s="9" t="s">
        <v>23</v>
      </c>
      <c r="J11" s="8">
        <v>60</v>
      </c>
      <c r="K11" s="8">
        <v>4</v>
      </c>
      <c r="L11" s="7" t="s">
        <v>5</v>
      </c>
      <c r="M11" s="8">
        <v>10</v>
      </c>
      <c r="N11" s="8">
        <v>10</v>
      </c>
      <c r="O11" s="8" t="s">
        <v>83</v>
      </c>
      <c r="P11" s="8" t="s">
        <v>49</v>
      </c>
      <c r="Q11" s="8" t="s">
        <v>84</v>
      </c>
      <c r="R11">
        <f>INDEX($U$8:$AL$8,MATCH(K11,$U$7:$AL$7,0))</f>
        <v>2</v>
      </c>
    </row>
    <row r="12" spans="1:38" ht="27" thickBot="1" x14ac:dyDescent="0.35">
      <c r="A12">
        <v>2</v>
      </c>
      <c r="B12" t="s">
        <v>86</v>
      </c>
      <c r="C12" t="s">
        <v>85</v>
      </c>
      <c r="D12" s="8">
        <v>5</v>
      </c>
      <c r="E12" s="8">
        <v>30</v>
      </c>
      <c r="F12" s="8">
        <v>15</v>
      </c>
      <c r="G12" s="8">
        <v>540</v>
      </c>
      <c r="H12" s="27">
        <v>70000</v>
      </c>
      <c r="I12" s="9" t="s">
        <v>73</v>
      </c>
      <c r="J12" s="8">
        <v>73</v>
      </c>
      <c r="K12" s="8">
        <v>5</v>
      </c>
      <c r="L12" s="7" t="s">
        <v>5</v>
      </c>
      <c r="M12" s="8">
        <v>10</v>
      </c>
      <c r="N12" s="8">
        <v>10</v>
      </c>
      <c r="O12" s="8" t="s">
        <v>83</v>
      </c>
      <c r="P12" s="8" t="s">
        <v>49</v>
      </c>
      <c r="Q12" s="8" t="s">
        <v>84</v>
      </c>
      <c r="R12">
        <f>INDEX($U$8:$AL$8,MATCH(K12,$U$7:$AL$7,0))</f>
        <v>3</v>
      </c>
    </row>
    <row r="13" spans="1:38" ht="27" thickBot="1" x14ac:dyDescent="0.35">
      <c r="A13">
        <v>2</v>
      </c>
      <c r="B13" t="s">
        <v>86</v>
      </c>
      <c r="C13" t="s">
        <v>85</v>
      </c>
      <c r="D13" s="8">
        <v>6</v>
      </c>
      <c r="E13" s="8">
        <v>35</v>
      </c>
      <c r="F13" s="8" t="s">
        <v>74</v>
      </c>
      <c r="G13" s="8">
        <v>580</v>
      </c>
      <c r="H13" s="27">
        <v>80000</v>
      </c>
      <c r="I13" s="9" t="s">
        <v>24</v>
      </c>
      <c r="J13" s="8">
        <v>84</v>
      </c>
      <c r="K13" s="8">
        <v>5</v>
      </c>
      <c r="L13" s="7" t="s">
        <v>5</v>
      </c>
      <c r="M13" s="8">
        <v>10</v>
      </c>
      <c r="N13" s="8">
        <v>10</v>
      </c>
      <c r="O13" s="8" t="s">
        <v>83</v>
      </c>
      <c r="P13" s="8" t="s">
        <v>49</v>
      </c>
      <c r="Q13" s="8" t="s">
        <v>84</v>
      </c>
      <c r="R13">
        <f>INDEX($U$8:$AL$8,MATCH(K13,$U$7:$AL$7,0))</f>
        <v>3</v>
      </c>
    </row>
    <row r="14" spans="1:38" ht="27" thickBot="1" x14ac:dyDescent="0.35">
      <c r="A14">
        <v>2</v>
      </c>
      <c r="B14" t="s">
        <v>86</v>
      </c>
      <c r="C14" t="s">
        <v>85</v>
      </c>
      <c r="D14" s="8">
        <v>7</v>
      </c>
      <c r="E14" s="8">
        <v>42</v>
      </c>
      <c r="F14" s="8">
        <v>21</v>
      </c>
      <c r="G14" s="8">
        <v>630</v>
      </c>
      <c r="H14" s="27">
        <v>150000</v>
      </c>
      <c r="I14" s="9" t="s">
        <v>26</v>
      </c>
      <c r="J14" s="8">
        <v>103</v>
      </c>
      <c r="K14" s="10">
        <v>6</v>
      </c>
      <c r="L14" s="7" t="s">
        <v>5</v>
      </c>
      <c r="M14" s="8">
        <v>10</v>
      </c>
      <c r="N14" s="8">
        <v>10</v>
      </c>
      <c r="O14" s="8" t="s">
        <v>83</v>
      </c>
      <c r="P14" s="8" t="s">
        <v>49</v>
      </c>
      <c r="Q14" s="8" t="s">
        <v>84</v>
      </c>
      <c r="R14">
        <f>INDEX($U$8:$AL$8,MATCH(K14,$U$7:$AL$7,0))</f>
        <v>3</v>
      </c>
    </row>
    <row r="15" spans="1:38" ht="27" thickBot="1" x14ac:dyDescent="0.35">
      <c r="A15">
        <v>2</v>
      </c>
      <c r="B15" t="s">
        <v>86</v>
      </c>
      <c r="C15" t="s">
        <v>85</v>
      </c>
      <c r="D15" s="8">
        <v>8</v>
      </c>
      <c r="E15" s="8">
        <v>48</v>
      </c>
      <c r="F15" s="8">
        <v>24</v>
      </c>
      <c r="G15" s="8">
        <v>690</v>
      </c>
      <c r="H15" s="27">
        <v>200000</v>
      </c>
      <c r="I15" s="9" t="s">
        <v>30</v>
      </c>
      <c r="J15" s="8">
        <v>120</v>
      </c>
      <c r="K15" s="8">
        <v>7</v>
      </c>
      <c r="L15" s="7" t="s">
        <v>5</v>
      </c>
      <c r="M15" s="8">
        <v>10</v>
      </c>
      <c r="N15" s="8">
        <v>10</v>
      </c>
      <c r="O15" s="8" t="s">
        <v>83</v>
      </c>
      <c r="P15" s="8" t="s">
        <v>49</v>
      </c>
      <c r="Q15" s="8" t="s">
        <v>84</v>
      </c>
      <c r="R15">
        <f>INDEX($U$8:$AL$8,MATCH(K15,$U$7:$AL$7,0))</f>
        <v>4</v>
      </c>
    </row>
    <row r="16" spans="1:38" ht="27" thickBot="1" x14ac:dyDescent="0.35">
      <c r="A16">
        <v>2</v>
      </c>
      <c r="B16" t="s">
        <v>86</v>
      </c>
      <c r="C16" t="s">
        <v>85</v>
      </c>
      <c r="D16" s="8">
        <v>9</v>
      </c>
      <c r="E16" s="8">
        <v>56</v>
      </c>
      <c r="F16" s="8">
        <v>28</v>
      </c>
      <c r="G16" s="8">
        <v>750</v>
      </c>
      <c r="H16" s="27">
        <v>400000</v>
      </c>
      <c r="I16" s="9" t="s">
        <v>33</v>
      </c>
      <c r="J16" s="8">
        <v>134</v>
      </c>
      <c r="K16" s="8">
        <v>8</v>
      </c>
      <c r="L16" s="7" t="s">
        <v>5</v>
      </c>
      <c r="M16" s="8">
        <v>10</v>
      </c>
      <c r="N16" s="8">
        <v>10</v>
      </c>
      <c r="O16" s="8" t="s">
        <v>83</v>
      </c>
      <c r="P16" s="8" t="s">
        <v>49</v>
      </c>
      <c r="Q16" s="8" t="s">
        <v>84</v>
      </c>
      <c r="R16">
        <f>INDEX($U$8:$AL$8,MATCH(K16,$U$7:$AL$7,0))</f>
        <v>5</v>
      </c>
    </row>
    <row r="17" spans="1:18" ht="27" thickBot="1" x14ac:dyDescent="0.35">
      <c r="A17">
        <v>2</v>
      </c>
      <c r="B17" t="s">
        <v>86</v>
      </c>
      <c r="C17" t="s">
        <v>85</v>
      </c>
      <c r="D17" s="8">
        <v>10</v>
      </c>
      <c r="E17" s="8">
        <v>63</v>
      </c>
      <c r="F17" s="8" t="s">
        <v>75</v>
      </c>
      <c r="G17" s="8">
        <v>810</v>
      </c>
      <c r="H17" s="27">
        <v>460000</v>
      </c>
      <c r="I17" s="9" t="s">
        <v>34</v>
      </c>
      <c r="J17" s="8">
        <v>146</v>
      </c>
      <c r="K17" s="8">
        <v>8</v>
      </c>
      <c r="L17" s="7" t="s">
        <v>5</v>
      </c>
      <c r="M17" s="8">
        <v>10</v>
      </c>
      <c r="N17" s="8">
        <v>10</v>
      </c>
      <c r="O17" s="8" t="s">
        <v>83</v>
      </c>
      <c r="P17" s="8" t="s">
        <v>49</v>
      </c>
      <c r="Q17" s="8" t="s">
        <v>84</v>
      </c>
      <c r="R17">
        <f>INDEX($U$8:$AL$8,MATCH(K17,$U$7:$AL$7,0))</f>
        <v>5</v>
      </c>
    </row>
    <row r="18" spans="1:18" ht="27" thickBot="1" x14ac:dyDescent="0.35">
      <c r="A18">
        <v>2</v>
      </c>
      <c r="B18" t="s">
        <v>86</v>
      </c>
      <c r="C18" t="s">
        <v>85</v>
      </c>
      <c r="D18" s="8">
        <v>11</v>
      </c>
      <c r="E18" s="8">
        <v>70</v>
      </c>
      <c r="F18" s="8">
        <v>35</v>
      </c>
      <c r="G18" s="8">
        <v>890</v>
      </c>
      <c r="H18" s="27">
        <v>600000</v>
      </c>
      <c r="I18" s="9" t="s">
        <v>76</v>
      </c>
      <c r="J18" s="8">
        <v>158</v>
      </c>
      <c r="K18" s="10">
        <v>9</v>
      </c>
      <c r="L18" s="7" t="s">
        <v>5</v>
      </c>
      <c r="M18" s="8">
        <v>10</v>
      </c>
      <c r="N18" s="8">
        <v>10</v>
      </c>
      <c r="O18" s="8" t="s">
        <v>83</v>
      </c>
      <c r="P18" s="8" t="s">
        <v>49</v>
      </c>
      <c r="Q18" s="8" t="s">
        <v>84</v>
      </c>
      <c r="R18">
        <f>INDEX($U$8:$AL$8,MATCH(K18,$U$7:$AL$7,0))</f>
        <v>6</v>
      </c>
    </row>
    <row r="19" spans="1:18" ht="27" thickBot="1" x14ac:dyDescent="0.35">
      <c r="A19">
        <v>2</v>
      </c>
      <c r="B19" t="s">
        <v>86</v>
      </c>
      <c r="C19" t="s">
        <v>85</v>
      </c>
      <c r="D19" s="8">
        <v>12</v>
      </c>
      <c r="E19" s="8">
        <v>74</v>
      </c>
      <c r="F19" s="8">
        <v>37</v>
      </c>
      <c r="G19" s="8">
        <v>970</v>
      </c>
      <c r="H19" s="27">
        <v>700000</v>
      </c>
      <c r="I19" s="9" t="s">
        <v>36</v>
      </c>
      <c r="J19" s="8">
        <v>169</v>
      </c>
      <c r="K19" s="8">
        <v>10</v>
      </c>
      <c r="L19" s="7" t="s">
        <v>5</v>
      </c>
      <c r="M19" s="8">
        <v>10</v>
      </c>
      <c r="N19" s="8">
        <v>10</v>
      </c>
      <c r="O19" s="8" t="s">
        <v>83</v>
      </c>
      <c r="P19" s="8" t="s">
        <v>49</v>
      </c>
      <c r="Q19" s="8" t="s">
        <v>84</v>
      </c>
      <c r="R19">
        <f>INDEX($U$8:$AL$8,MATCH(K19,$U$7:$AL$7,0))</f>
        <v>7</v>
      </c>
    </row>
    <row r="20" spans="1:18" ht="27" thickBot="1" x14ac:dyDescent="0.35">
      <c r="A20">
        <v>2</v>
      </c>
      <c r="B20" t="s">
        <v>86</v>
      </c>
      <c r="C20" t="s">
        <v>85</v>
      </c>
      <c r="D20" s="8">
        <v>13</v>
      </c>
      <c r="E20" s="8">
        <v>78</v>
      </c>
      <c r="F20" s="8">
        <v>39</v>
      </c>
      <c r="G20" s="27">
        <v>1050</v>
      </c>
      <c r="H20" s="27">
        <v>1000000</v>
      </c>
      <c r="I20" s="9" t="s">
        <v>37</v>
      </c>
      <c r="J20" s="8">
        <v>189</v>
      </c>
      <c r="K20" s="8">
        <v>10</v>
      </c>
      <c r="L20" s="7" t="s">
        <v>5</v>
      </c>
      <c r="M20" s="8">
        <v>10</v>
      </c>
      <c r="N20" s="8">
        <v>10</v>
      </c>
      <c r="O20" s="8" t="s">
        <v>83</v>
      </c>
      <c r="P20" s="8" t="s">
        <v>49</v>
      </c>
      <c r="Q20" s="8" t="s">
        <v>84</v>
      </c>
      <c r="R20">
        <f>INDEX($U$8:$AL$8,MATCH(K20,$U$7:$AL$7,0))</f>
        <v>7</v>
      </c>
    </row>
    <row r="21" spans="1:18" ht="27" thickBot="1" x14ac:dyDescent="0.35">
      <c r="A21">
        <v>2</v>
      </c>
      <c r="B21" t="s">
        <v>86</v>
      </c>
      <c r="C21" t="s">
        <v>85</v>
      </c>
      <c r="D21" s="8">
        <v>14</v>
      </c>
      <c r="E21" s="8">
        <v>82</v>
      </c>
      <c r="F21" s="8">
        <v>41</v>
      </c>
      <c r="G21" s="27">
        <v>1130</v>
      </c>
      <c r="H21" s="27">
        <v>1100000</v>
      </c>
      <c r="I21" s="9" t="s">
        <v>38</v>
      </c>
      <c r="J21" s="8">
        <v>198</v>
      </c>
      <c r="K21" s="10">
        <v>11</v>
      </c>
      <c r="L21" s="7" t="s">
        <v>5</v>
      </c>
      <c r="M21" s="8">
        <v>10</v>
      </c>
      <c r="N21" s="8">
        <v>10</v>
      </c>
      <c r="O21" s="8" t="s">
        <v>83</v>
      </c>
      <c r="P21" s="8" t="s">
        <v>49</v>
      </c>
      <c r="Q21" s="8" t="s">
        <v>84</v>
      </c>
      <c r="R21">
        <f>INDEX($U$8:$AL$8,MATCH(K21,$U$7:$AL$7,0))</f>
        <v>8</v>
      </c>
    </row>
    <row r="22" spans="1:18" ht="27" thickBot="1" x14ac:dyDescent="0.35">
      <c r="A22">
        <v>2</v>
      </c>
      <c r="B22" t="s">
        <v>86</v>
      </c>
      <c r="C22" t="s">
        <v>85</v>
      </c>
      <c r="D22" s="8">
        <v>15</v>
      </c>
      <c r="E22" s="8">
        <v>85</v>
      </c>
      <c r="F22" s="8" t="s">
        <v>77</v>
      </c>
      <c r="G22" s="27">
        <v>1230</v>
      </c>
      <c r="H22" s="27">
        <v>1300000</v>
      </c>
      <c r="I22" s="9" t="s">
        <v>39</v>
      </c>
      <c r="J22" s="8">
        <v>207</v>
      </c>
      <c r="K22" s="8">
        <v>11</v>
      </c>
      <c r="L22" s="7" t="s">
        <v>5</v>
      </c>
      <c r="M22" s="8">
        <v>10</v>
      </c>
      <c r="N22" s="8">
        <v>10</v>
      </c>
      <c r="O22" s="8" t="s">
        <v>83</v>
      </c>
      <c r="P22" s="8" t="s">
        <v>49</v>
      </c>
      <c r="Q22" s="8" t="s">
        <v>84</v>
      </c>
      <c r="R22">
        <f>INDEX($U$8:$AL$8,MATCH(K22,$U$7:$AL$7,0))</f>
        <v>8</v>
      </c>
    </row>
    <row r="23" spans="1:18" ht="27" thickBot="1" x14ac:dyDescent="0.35">
      <c r="A23">
        <v>2</v>
      </c>
      <c r="B23" t="s">
        <v>86</v>
      </c>
      <c r="C23" t="s">
        <v>85</v>
      </c>
      <c r="D23" s="8">
        <v>16</v>
      </c>
      <c r="E23" s="8">
        <v>90</v>
      </c>
      <c r="F23" s="8">
        <v>45</v>
      </c>
      <c r="G23" s="27">
        <v>1310</v>
      </c>
      <c r="H23" s="27">
        <v>1600000</v>
      </c>
      <c r="I23" s="9" t="s">
        <v>40</v>
      </c>
      <c r="J23" s="8">
        <v>240</v>
      </c>
      <c r="K23" s="10">
        <v>12</v>
      </c>
      <c r="L23" s="7" t="s">
        <v>5</v>
      </c>
      <c r="M23" s="8">
        <v>10</v>
      </c>
      <c r="N23" s="8">
        <v>10</v>
      </c>
      <c r="O23" s="8" t="s">
        <v>83</v>
      </c>
      <c r="P23" s="8" t="s">
        <v>49</v>
      </c>
      <c r="Q23" s="8" t="s">
        <v>84</v>
      </c>
      <c r="R23">
        <f>INDEX($U$8:$AL$8,MATCH(K23,$U$7:$AL$7,0))</f>
        <v>8</v>
      </c>
    </row>
    <row r="24" spans="1:18" ht="27" thickBot="1" x14ac:dyDescent="0.35">
      <c r="A24">
        <v>2</v>
      </c>
      <c r="B24" t="s">
        <v>86</v>
      </c>
      <c r="C24" t="s">
        <v>85</v>
      </c>
      <c r="D24" s="8">
        <v>17</v>
      </c>
      <c r="E24" s="8">
        <v>100</v>
      </c>
      <c r="F24" s="8">
        <v>50</v>
      </c>
      <c r="G24" s="27">
        <v>1390</v>
      </c>
      <c r="H24" s="27">
        <v>1800000</v>
      </c>
      <c r="I24" s="9" t="s">
        <v>42</v>
      </c>
      <c r="J24" s="8">
        <v>268</v>
      </c>
      <c r="K24" s="8">
        <v>12</v>
      </c>
      <c r="L24" s="7" t="s">
        <v>5</v>
      </c>
      <c r="M24" s="8">
        <v>10</v>
      </c>
      <c r="N24" s="8">
        <v>10</v>
      </c>
      <c r="O24" s="8" t="s">
        <v>83</v>
      </c>
      <c r="P24" s="8" t="s">
        <v>49</v>
      </c>
      <c r="Q24" s="8" t="s">
        <v>84</v>
      </c>
      <c r="R24">
        <f>INDEX($U$8:$AL$8,MATCH(K24,$U$7:$AL$7,0))</f>
        <v>8</v>
      </c>
    </row>
    <row r="25" spans="1:18" ht="27" thickBot="1" x14ac:dyDescent="0.35">
      <c r="A25">
        <v>2</v>
      </c>
      <c r="B25" t="s">
        <v>86</v>
      </c>
      <c r="C25" t="s">
        <v>85</v>
      </c>
      <c r="D25" s="8">
        <v>18</v>
      </c>
      <c r="E25" s="8">
        <v>110</v>
      </c>
      <c r="F25" s="8">
        <v>55</v>
      </c>
      <c r="G25" s="27">
        <v>1510</v>
      </c>
      <c r="H25" s="27">
        <v>2000000</v>
      </c>
      <c r="I25" s="9" t="s">
        <v>43</v>
      </c>
      <c r="J25" s="8">
        <v>293</v>
      </c>
      <c r="K25" s="10">
        <v>13</v>
      </c>
      <c r="L25" s="7" t="s">
        <v>5</v>
      </c>
      <c r="M25" s="8">
        <v>10</v>
      </c>
      <c r="N25" s="8">
        <v>10</v>
      </c>
      <c r="O25" s="8" t="s">
        <v>83</v>
      </c>
      <c r="P25" s="8" t="s">
        <v>49</v>
      </c>
      <c r="Q25" s="8" t="s">
        <v>84</v>
      </c>
      <c r="R25">
        <f>INDEX($U$8:$AL$8,MATCH(K25,$U$7:$AL$7,0))</f>
        <v>8</v>
      </c>
    </row>
    <row r="26" spans="1:18" ht="27" thickBot="1" x14ac:dyDescent="0.35">
      <c r="A26">
        <v>2</v>
      </c>
      <c r="B26" t="s">
        <v>86</v>
      </c>
      <c r="C26" t="s">
        <v>85</v>
      </c>
      <c r="D26" s="8">
        <v>19</v>
      </c>
      <c r="E26" s="8">
        <v>120</v>
      </c>
      <c r="F26" s="8">
        <v>60</v>
      </c>
      <c r="G26" s="27">
        <v>1600</v>
      </c>
      <c r="H26" s="27">
        <v>2200000</v>
      </c>
      <c r="I26" s="9" t="s">
        <v>78</v>
      </c>
      <c r="J26" s="8">
        <v>328</v>
      </c>
      <c r="K26" s="8">
        <v>13</v>
      </c>
      <c r="L26" s="7" t="s">
        <v>5</v>
      </c>
      <c r="M26" s="8">
        <v>10</v>
      </c>
      <c r="N26" s="8">
        <v>10</v>
      </c>
      <c r="O26" s="8" t="s">
        <v>83</v>
      </c>
      <c r="P26" s="8" t="s">
        <v>49</v>
      </c>
      <c r="Q26" s="8" t="s">
        <v>84</v>
      </c>
      <c r="R26">
        <f>INDEX($U$8:$AL$8,MATCH(K26,$U$7:$AL$7,0))</f>
        <v>8</v>
      </c>
    </row>
    <row r="27" spans="1:18" ht="27" thickBot="1" x14ac:dyDescent="0.35">
      <c r="A27">
        <v>2</v>
      </c>
      <c r="B27" t="s">
        <v>86</v>
      </c>
      <c r="C27" t="s">
        <v>85</v>
      </c>
      <c r="D27" s="8">
        <v>20</v>
      </c>
      <c r="E27" s="8">
        <v>135</v>
      </c>
      <c r="F27" s="8" t="s">
        <v>79</v>
      </c>
      <c r="G27" s="27">
        <v>1700</v>
      </c>
      <c r="H27" s="27">
        <v>3000000</v>
      </c>
      <c r="I27" s="9" t="s">
        <v>44</v>
      </c>
      <c r="J27" s="8">
        <v>360</v>
      </c>
      <c r="K27" s="10">
        <v>14</v>
      </c>
      <c r="L27" s="7" t="s">
        <v>5</v>
      </c>
      <c r="M27" s="8">
        <v>10</v>
      </c>
      <c r="N27" s="8">
        <v>10</v>
      </c>
      <c r="O27" s="8" t="s">
        <v>83</v>
      </c>
      <c r="P27" s="8" t="s">
        <v>49</v>
      </c>
      <c r="Q27" s="8" t="s">
        <v>84</v>
      </c>
      <c r="R27">
        <f>INDEX($U$8:$AL$8,MATCH(K27,$U$7:$AL$7,0))</f>
        <v>8</v>
      </c>
    </row>
    <row r="28" spans="1:18" ht="27" thickBot="1" x14ac:dyDescent="0.35">
      <c r="A28">
        <v>2</v>
      </c>
      <c r="B28" t="s">
        <v>86</v>
      </c>
      <c r="C28" t="s">
        <v>85</v>
      </c>
      <c r="D28" s="11">
        <v>21</v>
      </c>
      <c r="E28" s="11">
        <v>145</v>
      </c>
      <c r="F28" s="11" t="s">
        <v>80</v>
      </c>
      <c r="G28" s="28">
        <v>1800</v>
      </c>
      <c r="H28" s="28">
        <v>4000000</v>
      </c>
      <c r="I28" s="12" t="s">
        <v>82</v>
      </c>
      <c r="J28" s="11">
        <v>415</v>
      </c>
      <c r="K28" s="11">
        <v>15</v>
      </c>
      <c r="L28" s="7" t="s">
        <v>5</v>
      </c>
      <c r="M28" s="8">
        <v>10</v>
      </c>
      <c r="N28" s="8">
        <v>10</v>
      </c>
      <c r="O28" s="8" t="s">
        <v>83</v>
      </c>
      <c r="P28" s="8" t="s">
        <v>49</v>
      </c>
      <c r="Q28" s="8" t="s">
        <v>84</v>
      </c>
      <c r="R28">
        <f>INDEX($U$8:$AL$8,MATCH(K28,$U$7:$AL$7,0))</f>
        <v>8</v>
      </c>
    </row>
  </sheetData>
  <hyperlinks>
    <hyperlink ref="J7" r:id="rId1" tooltip="Experience" display="https://clashofclans.fandom.com/wiki/Experience" xr:uid="{9ABF28DA-53AF-4DF6-B6F1-FE1F9E4118E5}"/>
    <hyperlink ref="K7" r:id="rId2" tooltip="Town Hall" display="https://clashofclans.fandom.com/wiki/Town_Hall" xr:uid="{BF47888C-64B9-4260-AD02-7ED61CF5159E}"/>
    <hyperlink ref="T7" r:id="rId3" tooltip="Town Hall" display="https://clashofclans.fandom.com/wiki/Town_Hall" xr:uid="{2356C77B-F7EA-45B5-B2F8-FB935FECF4AB}"/>
  </hyperlink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9B0F-3FCE-4DFB-B093-D47425828D68}">
  <dimension ref="A3:AL28"/>
  <sheetViews>
    <sheetView topLeftCell="A7" workbookViewId="0">
      <selection activeCell="M7" sqref="M7:N7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3"/>
      <c r="M6" s="31"/>
    </row>
    <row r="7" spans="1:38" ht="53.4" thickBot="1" x14ac:dyDescent="0.35">
      <c r="A7" t="s">
        <v>52</v>
      </c>
      <c r="B7" t="s">
        <v>53</v>
      </c>
      <c r="C7" t="s">
        <v>51</v>
      </c>
      <c r="D7" s="25" t="s">
        <v>6</v>
      </c>
      <c r="E7" s="25" t="s">
        <v>7</v>
      </c>
      <c r="F7" s="25" t="s">
        <v>8</v>
      </c>
      <c r="G7" s="25" t="s">
        <v>9</v>
      </c>
      <c r="H7" s="25" t="s">
        <v>10</v>
      </c>
      <c r="I7" s="25" t="s">
        <v>11</v>
      </c>
      <c r="J7" s="26" t="s">
        <v>12</v>
      </c>
      <c r="K7" s="26" t="s">
        <v>13</v>
      </c>
      <c r="L7" s="24" t="s">
        <v>4</v>
      </c>
      <c r="M7" s="32" t="s">
        <v>97</v>
      </c>
      <c r="N7" s="20" t="s">
        <v>98</v>
      </c>
      <c r="O7" s="15" t="s">
        <v>45</v>
      </c>
      <c r="P7" s="15" t="s">
        <v>46</v>
      </c>
      <c r="Q7" s="15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1</v>
      </c>
      <c r="B8" t="s">
        <v>54</v>
      </c>
      <c r="C8" t="s">
        <v>55</v>
      </c>
      <c r="D8" s="21">
        <v>1</v>
      </c>
      <c r="E8" s="21">
        <v>7</v>
      </c>
      <c r="F8" s="21" t="s">
        <v>14</v>
      </c>
      <c r="G8" s="21">
        <v>300</v>
      </c>
      <c r="H8" s="21">
        <v>250</v>
      </c>
      <c r="I8" s="22" t="s">
        <v>15</v>
      </c>
      <c r="J8" s="21">
        <v>2</v>
      </c>
      <c r="K8" s="21">
        <v>1</v>
      </c>
      <c r="L8" s="7" t="s">
        <v>5</v>
      </c>
      <c r="M8" s="8">
        <v>9</v>
      </c>
      <c r="N8" s="8">
        <v>9</v>
      </c>
      <c r="O8" s="8" t="s">
        <v>48</v>
      </c>
      <c r="P8" s="8" t="s">
        <v>49</v>
      </c>
      <c r="Q8" s="8" t="s">
        <v>50</v>
      </c>
      <c r="R8">
        <f>INDEX($U$8:$AL$8,MATCH(K8,$U$7:$AL$7,0))</f>
        <v>2</v>
      </c>
      <c r="T8" s="3" t="s">
        <v>1</v>
      </c>
      <c r="U8" s="4">
        <v>2</v>
      </c>
      <c r="V8" s="5">
        <v>2</v>
      </c>
      <c r="W8" s="5">
        <v>2</v>
      </c>
      <c r="X8" s="5">
        <v>2</v>
      </c>
      <c r="Y8" s="4">
        <v>3</v>
      </c>
      <c r="Z8" s="5">
        <v>3</v>
      </c>
      <c r="AA8" s="4">
        <v>5</v>
      </c>
      <c r="AB8" s="5">
        <v>5</v>
      </c>
      <c r="AC8" s="5">
        <v>5</v>
      </c>
      <c r="AD8" s="4">
        <v>6</v>
      </c>
      <c r="AE8" s="4">
        <v>7</v>
      </c>
      <c r="AF8" s="5">
        <v>7</v>
      </c>
      <c r="AG8" s="5">
        <v>7</v>
      </c>
      <c r="AH8" s="5">
        <v>7</v>
      </c>
      <c r="AI8" s="5">
        <v>7</v>
      </c>
      <c r="AJ8" s="4" t="s">
        <v>2</v>
      </c>
      <c r="AK8" s="4" t="s">
        <v>3</v>
      </c>
      <c r="AL8" s="5" t="s">
        <v>3</v>
      </c>
    </row>
    <row r="9" spans="1:38" ht="27" thickBot="1" x14ac:dyDescent="0.35">
      <c r="A9">
        <v>1</v>
      </c>
      <c r="B9" t="s">
        <v>54</v>
      </c>
      <c r="C9" t="s">
        <v>55</v>
      </c>
      <c r="D9" s="8">
        <v>2</v>
      </c>
      <c r="E9" s="8">
        <v>10</v>
      </c>
      <c r="F9" s="8">
        <v>8</v>
      </c>
      <c r="G9" s="8">
        <v>360</v>
      </c>
      <c r="H9" s="8">
        <v>1</v>
      </c>
      <c r="I9" s="9" t="s">
        <v>16</v>
      </c>
      <c r="J9" s="8">
        <v>5</v>
      </c>
      <c r="K9" s="8">
        <v>1</v>
      </c>
      <c r="L9" s="7" t="s">
        <v>5</v>
      </c>
      <c r="M9" s="8">
        <v>9</v>
      </c>
      <c r="N9" s="8">
        <v>9</v>
      </c>
      <c r="O9" s="8" t="s">
        <v>48</v>
      </c>
      <c r="P9" s="8" t="s">
        <v>49</v>
      </c>
      <c r="Q9" s="8" t="s">
        <v>50</v>
      </c>
      <c r="R9">
        <f>INDEX($U$8:$AL$8,MATCH(K9,$U$7:$AL$7,0))</f>
        <v>2</v>
      </c>
    </row>
    <row r="10" spans="1:38" ht="27" thickBot="1" x14ac:dyDescent="0.35">
      <c r="A10">
        <v>1</v>
      </c>
      <c r="B10" t="s">
        <v>54</v>
      </c>
      <c r="C10" t="s">
        <v>55</v>
      </c>
      <c r="D10" s="8">
        <v>3</v>
      </c>
      <c r="E10" s="8">
        <v>13</v>
      </c>
      <c r="F10" s="8" t="s">
        <v>17</v>
      </c>
      <c r="G10" s="8">
        <v>420</v>
      </c>
      <c r="H10" s="8">
        <v>4</v>
      </c>
      <c r="I10" s="9" t="s">
        <v>18</v>
      </c>
      <c r="J10" s="8">
        <v>10</v>
      </c>
      <c r="K10" s="10">
        <v>2</v>
      </c>
      <c r="L10" s="7" t="s">
        <v>5</v>
      </c>
      <c r="M10" s="8">
        <v>9</v>
      </c>
      <c r="N10" s="8">
        <v>9</v>
      </c>
      <c r="O10" s="8" t="s">
        <v>48</v>
      </c>
      <c r="P10" s="8" t="s">
        <v>49</v>
      </c>
      <c r="Q10" s="8" t="s">
        <v>50</v>
      </c>
      <c r="R10">
        <f>INDEX($U$8:$AL$8,MATCH(K10,$U$7:$AL$7,0))</f>
        <v>2</v>
      </c>
    </row>
    <row r="11" spans="1:38" ht="27" thickBot="1" x14ac:dyDescent="0.35">
      <c r="A11">
        <v>1</v>
      </c>
      <c r="B11" t="s">
        <v>54</v>
      </c>
      <c r="C11" t="s">
        <v>55</v>
      </c>
      <c r="D11" s="8">
        <v>4</v>
      </c>
      <c r="E11" s="8">
        <v>17</v>
      </c>
      <c r="F11" s="8" t="s">
        <v>19</v>
      </c>
      <c r="G11" s="8">
        <v>500</v>
      </c>
      <c r="H11" s="8">
        <v>16</v>
      </c>
      <c r="I11" s="9" t="s">
        <v>20</v>
      </c>
      <c r="J11" s="8">
        <v>34</v>
      </c>
      <c r="K11" s="8">
        <v>3</v>
      </c>
      <c r="L11" s="7" t="s">
        <v>5</v>
      </c>
      <c r="M11" s="8">
        <v>9</v>
      </c>
      <c r="N11" s="8">
        <v>9</v>
      </c>
      <c r="O11" s="8" t="s">
        <v>48</v>
      </c>
      <c r="P11" s="8" t="s">
        <v>49</v>
      </c>
      <c r="Q11" s="8" t="s">
        <v>50</v>
      </c>
      <c r="R11">
        <f>INDEX($U$8:$AL$8,MATCH(K11,$U$7:$AL$7,0))</f>
        <v>2</v>
      </c>
    </row>
    <row r="12" spans="1:38" ht="27" thickBot="1" x14ac:dyDescent="0.35">
      <c r="A12">
        <v>1</v>
      </c>
      <c r="B12" t="s">
        <v>54</v>
      </c>
      <c r="C12" t="s">
        <v>55</v>
      </c>
      <c r="D12" s="8">
        <v>5</v>
      </c>
      <c r="E12" s="8">
        <v>23</v>
      </c>
      <c r="F12" s="8" t="s">
        <v>21</v>
      </c>
      <c r="G12" s="8">
        <v>600</v>
      </c>
      <c r="H12" s="8">
        <v>50</v>
      </c>
      <c r="I12" s="9" t="s">
        <v>22</v>
      </c>
      <c r="J12" s="8">
        <v>42</v>
      </c>
      <c r="K12" s="8">
        <v>4</v>
      </c>
      <c r="L12" s="7" t="s">
        <v>5</v>
      </c>
      <c r="M12" s="8">
        <v>9</v>
      </c>
      <c r="N12" s="8">
        <v>9</v>
      </c>
      <c r="O12" s="8" t="s">
        <v>48</v>
      </c>
      <c r="P12" s="8" t="s">
        <v>49</v>
      </c>
      <c r="Q12" s="8" t="s">
        <v>50</v>
      </c>
      <c r="R12">
        <f>INDEX($U$8:$AL$8,MATCH(K12,$U$7:$AL$7,0))</f>
        <v>2</v>
      </c>
    </row>
    <row r="13" spans="1:38" ht="27" thickBot="1" x14ac:dyDescent="0.35">
      <c r="A13">
        <v>1</v>
      </c>
      <c r="B13" t="s">
        <v>54</v>
      </c>
      <c r="C13" t="s">
        <v>55</v>
      </c>
      <c r="D13" s="8">
        <v>6</v>
      </c>
      <c r="E13" s="8">
        <v>30</v>
      </c>
      <c r="F13" s="8">
        <v>24</v>
      </c>
      <c r="G13" s="8">
        <v>660</v>
      </c>
      <c r="H13" s="8">
        <v>60</v>
      </c>
      <c r="I13" s="9" t="s">
        <v>23</v>
      </c>
      <c r="J13" s="8">
        <v>60</v>
      </c>
      <c r="K13" s="8">
        <v>5</v>
      </c>
      <c r="L13" s="7" t="s">
        <v>5</v>
      </c>
      <c r="M13" s="8">
        <v>9</v>
      </c>
      <c r="N13" s="8">
        <v>9</v>
      </c>
      <c r="O13" s="8" t="s">
        <v>48</v>
      </c>
      <c r="P13" s="8" t="s">
        <v>49</v>
      </c>
      <c r="Q13" s="8" t="s">
        <v>50</v>
      </c>
      <c r="R13">
        <f>INDEX($U$8:$AL$8,MATCH(K13,$U$7:$AL$7,0))</f>
        <v>3</v>
      </c>
    </row>
    <row r="14" spans="1:38" ht="27" thickBot="1" x14ac:dyDescent="0.35">
      <c r="A14">
        <v>1</v>
      </c>
      <c r="B14" t="s">
        <v>54</v>
      </c>
      <c r="C14" t="s">
        <v>55</v>
      </c>
      <c r="D14" s="8">
        <v>7</v>
      </c>
      <c r="E14" s="8">
        <v>40</v>
      </c>
      <c r="F14" s="8">
        <v>32</v>
      </c>
      <c r="G14" s="8">
        <v>730</v>
      </c>
      <c r="H14" s="8">
        <v>100</v>
      </c>
      <c r="I14" s="9" t="s">
        <v>24</v>
      </c>
      <c r="J14" s="8">
        <v>84</v>
      </c>
      <c r="K14" s="8">
        <v>6</v>
      </c>
      <c r="L14" s="7" t="s">
        <v>5</v>
      </c>
      <c r="M14" s="8">
        <v>9</v>
      </c>
      <c r="N14" s="8">
        <v>9</v>
      </c>
      <c r="O14" s="8" t="s">
        <v>48</v>
      </c>
      <c r="P14" s="8" t="s">
        <v>49</v>
      </c>
      <c r="Q14" s="8" t="s">
        <v>50</v>
      </c>
      <c r="R14">
        <f>INDEX($U$8:$AL$8,MATCH(K14,$U$7:$AL$7,0))</f>
        <v>3</v>
      </c>
    </row>
    <row r="15" spans="1:38" ht="27" thickBot="1" x14ac:dyDescent="0.35">
      <c r="A15">
        <v>1</v>
      </c>
      <c r="B15" t="s">
        <v>54</v>
      </c>
      <c r="C15" t="s">
        <v>55</v>
      </c>
      <c r="D15" s="8">
        <v>8</v>
      </c>
      <c r="E15" s="8">
        <v>48</v>
      </c>
      <c r="F15" s="8" t="s">
        <v>25</v>
      </c>
      <c r="G15" s="8">
        <v>800</v>
      </c>
      <c r="H15" s="8">
        <v>160</v>
      </c>
      <c r="I15" s="9" t="s">
        <v>26</v>
      </c>
      <c r="J15" s="8">
        <v>103</v>
      </c>
      <c r="K15" s="8">
        <v>7</v>
      </c>
      <c r="L15" s="7" t="s">
        <v>5</v>
      </c>
      <c r="M15" s="8">
        <v>9</v>
      </c>
      <c r="N15" s="8">
        <v>9</v>
      </c>
      <c r="O15" s="8" t="s">
        <v>48</v>
      </c>
      <c r="P15" s="8" t="s">
        <v>49</v>
      </c>
      <c r="Q15" s="8" t="s">
        <v>50</v>
      </c>
      <c r="R15">
        <f>INDEX($U$8:$AL$8,MATCH(K15,$U$7:$AL$7,0))</f>
        <v>5</v>
      </c>
    </row>
    <row r="16" spans="1:38" ht="27" thickBot="1" x14ac:dyDescent="0.35">
      <c r="A16">
        <v>1</v>
      </c>
      <c r="B16" t="s">
        <v>54</v>
      </c>
      <c r="C16" t="s">
        <v>55</v>
      </c>
      <c r="D16" s="8">
        <v>9</v>
      </c>
      <c r="E16" s="8">
        <v>56</v>
      </c>
      <c r="F16" s="8" t="s">
        <v>27</v>
      </c>
      <c r="G16" s="8">
        <v>880</v>
      </c>
      <c r="H16" s="8">
        <v>250</v>
      </c>
      <c r="I16" s="9" t="s">
        <v>28</v>
      </c>
      <c r="J16" s="8">
        <v>112</v>
      </c>
      <c r="K16" s="8">
        <v>8</v>
      </c>
      <c r="L16" s="7" t="s">
        <v>5</v>
      </c>
      <c r="M16" s="8">
        <v>9</v>
      </c>
      <c r="N16" s="8">
        <v>9</v>
      </c>
      <c r="O16" s="8" t="s">
        <v>48</v>
      </c>
      <c r="P16" s="8" t="s">
        <v>49</v>
      </c>
      <c r="Q16" s="8" t="s">
        <v>50</v>
      </c>
      <c r="R16">
        <f>INDEX($U$8:$AL$8,MATCH(K16,$U$7:$AL$7,0))</f>
        <v>5</v>
      </c>
    </row>
    <row r="17" spans="1:18" ht="27" thickBot="1" x14ac:dyDescent="0.35">
      <c r="A17">
        <v>1</v>
      </c>
      <c r="B17" t="s">
        <v>54</v>
      </c>
      <c r="C17" t="s">
        <v>55</v>
      </c>
      <c r="D17" s="8">
        <v>10</v>
      </c>
      <c r="E17" s="8">
        <v>64</v>
      </c>
      <c r="F17" s="8" t="s">
        <v>29</v>
      </c>
      <c r="G17" s="8">
        <v>960</v>
      </c>
      <c r="H17" s="8">
        <v>330</v>
      </c>
      <c r="I17" s="9" t="s">
        <v>30</v>
      </c>
      <c r="J17" s="8">
        <v>120</v>
      </c>
      <c r="K17" s="8">
        <v>8</v>
      </c>
      <c r="L17" s="7" t="s">
        <v>5</v>
      </c>
      <c r="M17" s="8">
        <v>9</v>
      </c>
      <c r="N17" s="8">
        <v>9</v>
      </c>
      <c r="O17" s="8" t="s">
        <v>48</v>
      </c>
      <c r="P17" s="8" t="s">
        <v>49</v>
      </c>
      <c r="Q17" s="8" t="s">
        <v>50</v>
      </c>
      <c r="R17">
        <f>INDEX($U$8:$AL$8,MATCH(K17,$U$7:$AL$7,0))</f>
        <v>5</v>
      </c>
    </row>
    <row r="18" spans="1:18" ht="27" thickBot="1" x14ac:dyDescent="0.35">
      <c r="A18">
        <v>1</v>
      </c>
      <c r="B18" t="s">
        <v>54</v>
      </c>
      <c r="C18" t="s">
        <v>55</v>
      </c>
      <c r="D18" s="8">
        <v>11</v>
      </c>
      <c r="E18" s="8">
        <v>74</v>
      </c>
      <c r="F18" s="8" t="s">
        <v>31</v>
      </c>
      <c r="G18" s="8" t="s">
        <v>56</v>
      </c>
      <c r="H18" s="8">
        <v>500</v>
      </c>
      <c r="I18" s="9" t="s">
        <v>32</v>
      </c>
      <c r="J18" s="8">
        <v>127</v>
      </c>
      <c r="K18" s="10">
        <v>9</v>
      </c>
      <c r="L18" s="7" t="s">
        <v>5</v>
      </c>
      <c r="M18" s="8">
        <v>9</v>
      </c>
      <c r="N18" s="8">
        <v>9</v>
      </c>
      <c r="O18" s="8" t="s">
        <v>48</v>
      </c>
      <c r="P18" s="8" t="s">
        <v>49</v>
      </c>
      <c r="Q18" s="8" t="s">
        <v>50</v>
      </c>
      <c r="R18">
        <f>INDEX($U$8:$AL$8,MATCH(K18,$U$7:$AL$7,0))</f>
        <v>5</v>
      </c>
    </row>
    <row r="19" spans="1:18" ht="27" thickBot="1" x14ac:dyDescent="0.35">
      <c r="A19">
        <v>1</v>
      </c>
      <c r="B19" t="s">
        <v>54</v>
      </c>
      <c r="C19" t="s">
        <v>55</v>
      </c>
      <c r="D19" s="8">
        <v>12</v>
      </c>
      <c r="E19" s="8">
        <v>85</v>
      </c>
      <c r="F19" s="8">
        <v>68</v>
      </c>
      <c r="G19" s="8" t="s">
        <v>57</v>
      </c>
      <c r="H19" s="8">
        <v>600</v>
      </c>
      <c r="I19" s="9" t="s">
        <v>33</v>
      </c>
      <c r="J19" s="8">
        <v>134</v>
      </c>
      <c r="K19" s="8">
        <v>10</v>
      </c>
      <c r="L19" s="7" t="s">
        <v>5</v>
      </c>
      <c r="M19" s="8">
        <v>9</v>
      </c>
      <c r="N19" s="8">
        <v>9</v>
      </c>
      <c r="O19" s="8" t="s">
        <v>48</v>
      </c>
      <c r="P19" s="8" t="s">
        <v>49</v>
      </c>
      <c r="Q19" s="8" t="s">
        <v>50</v>
      </c>
      <c r="R19">
        <f>INDEX($U$8:$AL$8,MATCH(K19,$U$7:$AL$7,0))</f>
        <v>6</v>
      </c>
    </row>
    <row r="20" spans="1:18" ht="27" thickBot="1" x14ac:dyDescent="0.35">
      <c r="A20">
        <v>1</v>
      </c>
      <c r="B20" t="s">
        <v>54</v>
      </c>
      <c r="C20" t="s">
        <v>55</v>
      </c>
      <c r="D20" s="8">
        <v>13</v>
      </c>
      <c r="E20" s="8">
        <v>95</v>
      </c>
      <c r="F20" s="8">
        <v>76</v>
      </c>
      <c r="G20" s="8" t="s">
        <v>58</v>
      </c>
      <c r="H20" s="8">
        <v>660</v>
      </c>
      <c r="I20" s="9" t="s">
        <v>34</v>
      </c>
      <c r="J20" s="8">
        <v>146</v>
      </c>
      <c r="K20" s="8">
        <v>10</v>
      </c>
      <c r="L20" s="7" t="s">
        <v>5</v>
      </c>
      <c r="M20" s="8">
        <v>9</v>
      </c>
      <c r="N20" s="8">
        <v>9</v>
      </c>
      <c r="O20" s="8" t="s">
        <v>48</v>
      </c>
      <c r="P20" s="8" t="s">
        <v>49</v>
      </c>
      <c r="Q20" s="8" t="s">
        <v>50</v>
      </c>
      <c r="R20">
        <f>INDEX($U$8:$AL$8,MATCH(K20,$U$7:$AL$7,0))</f>
        <v>6</v>
      </c>
    </row>
    <row r="21" spans="1:18" ht="27" thickBot="1" x14ac:dyDescent="0.35">
      <c r="A21">
        <v>1</v>
      </c>
      <c r="B21" t="s">
        <v>54</v>
      </c>
      <c r="C21" t="s">
        <v>55</v>
      </c>
      <c r="D21" s="8">
        <v>14</v>
      </c>
      <c r="E21" s="8">
        <v>100</v>
      </c>
      <c r="F21" s="8">
        <v>80</v>
      </c>
      <c r="G21" s="8" t="s">
        <v>59</v>
      </c>
      <c r="H21" s="8">
        <v>1000000</v>
      </c>
      <c r="I21" s="9" t="s">
        <v>36</v>
      </c>
      <c r="J21" s="8">
        <v>169</v>
      </c>
      <c r="K21" s="10">
        <v>11</v>
      </c>
      <c r="L21" s="7" t="s">
        <v>5</v>
      </c>
      <c r="M21" s="8">
        <v>9</v>
      </c>
      <c r="N21" s="8">
        <v>9</v>
      </c>
      <c r="O21" s="8" t="s">
        <v>48</v>
      </c>
      <c r="P21" s="8" t="s">
        <v>49</v>
      </c>
      <c r="Q21" s="8" t="s">
        <v>50</v>
      </c>
      <c r="R21">
        <f>INDEX($U$8:$AL$8,MATCH(K21,$U$7:$AL$7,0))</f>
        <v>7</v>
      </c>
    </row>
    <row r="22" spans="1:18" ht="27" thickBot="1" x14ac:dyDescent="0.35">
      <c r="A22">
        <v>1</v>
      </c>
      <c r="B22" t="s">
        <v>54</v>
      </c>
      <c r="C22" t="s">
        <v>55</v>
      </c>
      <c r="D22" s="8">
        <v>15</v>
      </c>
      <c r="E22" s="8">
        <v>105</v>
      </c>
      <c r="F22" s="8">
        <v>84</v>
      </c>
      <c r="G22" s="8" t="s">
        <v>60</v>
      </c>
      <c r="H22" s="8">
        <v>1200000</v>
      </c>
      <c r="I22" s="9" t="s">
        <v>37</v>
      </c>
      <c r="J22" s="8">
        <v>189</v>
      </c>
      <c r="K22" s="8">
        <v>11</v>
      </c>
      <c r="L22" s="7" t="s">
        <v>5</v>
      </c>
      <c r="M22" s="8">
        <v>9</v>
      </c>
      <c r="N22" s="8">
        <v>9</v>
      </c>
      <c r="O22" s="8" t="s">
        <v>48</v>
      </c>
      <c r="P22" s="8" t="s">
        <v>49</v>
      </c>
      <c r="Q22" s="8" t="s">
        <v>50</v>
      </c>
      <c r="R22">
        <f>INDEX($U$8:$AL$8,MATCH(K22,$U$7:$AL$7,0))</f>
        <v>7</v>
      </c>
    </row>
    <row r="23" spans="1:18" ht="27" thickBot="1" x14ac:dyDescent="0.35">
      <c r="A23">
        <v>1</v>
      </c>
      <c r="B23" t="s">
        <v>54</v>
      </c>
      <c r="C23" t="s">
        <v>55</v>
      </c>
      <c r="D23" s="8">
        <v>16</v>
      </c>
      <c r="E23" s="8">
        <v>110</v>
      </c>
      <c r="F23" s="8">
        <v>88</v>
      </c>
      <c r="G23" s="8" t="s">
        <v>61</v>
      </c>
      <c r="H23" s="8">
        <v>1300000</v>
      </c>
      <c r="I23" s="9" t="s">
        <v>38</v>
      </c>
      <c r="J23" s="8">
        <v>198</v>
      </c>
      <c r="K23" s="10">
        <v>12</v>
      </c>
      <c r="L23" s="7" t="s">
        <v>5</v>
      </c>
      <c r="M23" s="8">
        <v>9</v>
      </c>
      <c r="N23" s="8">
        <v>9</v>
      </c>
      <c r="O23" s="8" t="s">
        <v>48</v>
      </c>
      <c r="P23" s="8" t="s">
        <v>49</v>
      </c>
      <c r="Q23" s="8" t="s">
        <v>50</v>
      </c>
      <c r="R23">
        <f>INDEX($U$8:$AL$8,MATCH(K23,$U$7:$AL$7,0))</f>
        <v>7</v>
      </c>
    </row>
    <row r="24" spans="1:18" ht="27" thickBot="1" x14ac:dyDescent="0.35">
      <c r="A24">
        <v>1</v>
      </c>
      <c r="B24" t="s">
        <v>54</v>
      </c>
      <c r="C24" t="s">
        <v>55</v>
      </c>
      <c r="D24" s="8">
        <v>17</v>
      </c>
      <c r="E24" s="8">
        <v>115</v>
      </c>
      <c r="F24" s="8">
        <v>92</v>
      </c>
      <c r="G24" s="8" t="s">
        <v>62</v>
      </c>
      <c r="H24" s="8">
        <v>1500000</v>
      </c>
      <c r="I24" s="9" t="s">
        <v>39</v>
      </c>
      <c r="J24" s="8">
        <v>207</v>
      </c>
      <c r="K24" s="8">
        <v>12</v>
      </c>
      <c r="L24" s="7" t="s">
        <v>5</v>
      </c>
      <c r="M24" s="8">
        <v>9</v>
      </c>
      <c r="N24" s="8">
        <v>9</v>
      </c>
      <c r="O24" s="8" t="s">
        <v>48</v>
      </c>
      <c r="P24" s="8" t="s">
        <v>49</v>
      </c>
      <c r="Q24" s="8" t="s">
        <v>50</v>
      </c>
      <c r="R24">
        <f>INDEX($U$8:$AL$8,MATCH(K24,$U$7:$AL$7,0))</f>
        <v>7</v>
      </c>
    </row>
    <row r="25" spans="1:18" ht="27" thickBot="1" x14ac:dyDescent="0.35">
      <c r="A25">
        <v>1</v>
      </c>
      <c r="B25" t="s">
        <v>54</v>
      </c>
      <c r="C25" t="s">
        <v>55</v>
      </c>
      <c r="D25" s="8">
        <v>18</v>
      </c>
      <c r="E25" s="8">
        <v>125</v>
      </c>
      <c r="F25" s="8">
        <v>100</v>
      </c>
      <c r="G25" s="8" t="s">
        <v>63</v>
      </c>
      <c r="H25" s="8">
        <v>1800000</v>
      </c>
      <c r="I25" s="9" t="s">
        <v>40</v>
      </c>
      <c r="J25" s="8">
        <v>240</v>
      </c>
      <c r="K25" s="10">
        <v>13</v>
      </c>
      <c r="L25" s="7" t="s">
        <v>5</v>
      </c>
      <c r="M25" s="8">
        <v>9</v>
      </c>
      <c r="N25" s="8">
        <v>9</v>
      </c>
      <c r="O25" s="8" t="s">
        <v>48</v>
      </c>
      <c r="P25" s="8" t="s">
        <v>49</v>
      </c>
      <c r="Q25" s="8" t="s">
        <v>50</v>
      </c>
      <c r="R25">
        <f>INDEX($U$8:$AL$8,MATCH(K25,$U$7:$AL$7,0))</f>
        <v>7</v>
      </c>
    </row>
    <row r="26" spans="1:18" ht="27" thickBot="1" x14ac:dyDescent="0.35">
      <c r="A26">
        <v>1</v>
      </c>
      <c r="B26" t="s">
        <v>54</v>
      </c>
      <c r="C26" t="s">
        <v>55</v>
      </c>
      <c r="D26" s="8">
        <v>19</v>
      </c>
      <c r="E26" s="8">
        <v>135</v>
      </c>
      <c r="F26" s="8">
        <v>108</v>
      </c>
      <c r="G26" s="8">
        <v>2</v>
      </c>
      <c r="H26" s="8">
        <v>2000000</v>
      </c>
      <c r="I26" s="9" t="s">
        <v>42</v>
      </c>
      <c r="J26" s="8">
        <v>268</v>
      </c>
      <c r="K26" s="8">
        <v>13</v>
      </c>
      <c r="L26" s="7" t="s">
        <v>5</v>
      </c>
      <c r="M26" s="8">
        <v>9</v>
      </c>
      <c r="N26" s="8">
        <v>9</v>
      </c>
      <c r="O26" s="8" t="s">
        <v>48</v>
      </c>
      <c r="P26" s="8" t="s">
        <v>49</v>
      </c>
      <c r="Q26" s="8" t="s">
        <v>50</v>
      </c>
      <c r="R26">
        <f>INDEX($U$8:$AL$8,MATCH(K26,$U$7:$AL$7,0))</f>
        <v>7</v>
      </c>
    </row>
    <row r="27" spans="1:18" ht="27" thickBot="1" x14ac:dyDescent="0.35">
      <c r="A27">
        <v>1</v>
      </c>
      <c r="B27" t="s">
        <v>54</v>
      </c>
      <c r="C27" t="s">
        <v>55</v>
      </c>
      <c r="D27" s="8">
        <v>20</v>
      </c>
      <c r="E27" s="8">
        <v>150</v>
      </c>
      <c r="F27" s="8">
        <v>120</v>
      </c>
      <c r="G27" s="8" t="s">
        <v>64</v>
      </c>
      <c r="H27" s="8">
        <v>2600000</v>
      </c>
      <c r="I27" s="9" t="s">
        <v>43</v>
      </c>
      <c r="J27" s="8">
        <v>293</v>
      </c>
      <c r="K27" s="10">
        <v>14</v>
      </c>
      <c r="L27" s="7" t="s">
        <v>5</v>
      </c>
      <c r="M27" s="8">
        <v>9</v>
      </c>
      <c r="N27" s="8">
        <v>9</v>
      </c>
      <c r="O27" s="8" t="s">
        <v>48</v>
      </c>
      <c r="P27" s="8" t="s">
        <v>49</v>
      </c>
      <c r="Q27" s="8" t="s">
        <v>50</v>
      </c>
      <c r="R27">
        <f>INDEX($U$8:$AL$8,MATCH(K27,$U$7:$AL$7,0))</f>
        <v>7</v>
      </c>
    </row>
    <row r="28" spans="1:18" ht="27" thickBot="1" x14ac:dyDescent="0.35">
      <c r="A28">
        <v>1</v>
      </c>
      <c r="B28" t="s">
        <v>54</v>
      </c>
      <c r="C28" t="s">
        <v>55</v>
      </c>
      <c r="D28" s="11">
        <v>21</v>
      </c>
      <c r="E28" s="11">
        <v>160</v>
      </c>
      <c r="F28" s="11">
        <v>128</v>
      </c>
      <c r="G28" s="11" t="s">
        <v>65</v>
      </c>
      <c r="H28" s="11">
        <v>3000000</v>
      </c>
      <c r="I28" s="12" t="s">
        <v>44</v>
      </c>
      <c r="J28" s="11">
        <v>360</v>
      </c>
      <c r="K28" s="11">
        <v>15</v>
      </c>
      <c r="L28" s="7" t="s">
        <v>5</v>
      </c>
      <c r="M28" s="8">
        <v>9</v>
      </c>
      <c r="N28" s="8">
        <v>9</v>
      </c>
      <c r="O28" s="8" t="s">
        <v>48</v>
      </c>
      <c r="P28" s="8" t="s">
        <v>49</v>
      </c>
      <c r="Q28" s="8" t="s">
        <v>50</v>
      </c>
      <c r="R28">
        <f>INDEX($U$8:$AL$8,MATCH(K28,$U$7:$AL$7,0))</f>
        <v>7</v>
      </c>
    </row>
  </sheetData>
  <hyperlinks>
    <hyperlink ref="T7" r:id="rId1" tooltip="Town Hall" display="https://clashofclans.fandom.com/wiki/Town_Hall" xr:uid="{F95EAA12-F257-4BAA-A0C0-4D3C8D3E1E9F}"/>
    <hyperlink ref="J7" r:id="rId2" tooltip="Experience" display="https://clashofclans.fandom.com/wiki/Experience" xr:uid="{7092B6FE-A1FD-4FFF-BFE5-38A3CE784B46}"/>
    <hyperlink ref="K7" r:id="rId3" tooltip="Town Hall" display="https://clashofclans.fandom.com/wiki/Town_Hall" xr:uid="{95B29FFA-C4AB-4527-9B05-9628A2B94C26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Wizard Tower</vt:lpstr>
      <vt:lpstr>Town Hall</vt:lpstr>
      <vt:lpstr>Wall</vt:lpstr>
      <vt:lpstr>Mortar</vt:lpstr>
      <vt:lpstr>Archer Tower</vt:lpstr>
      <vt:lpstr>canon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widi arrohman</dc:creator>
  <cp:lastModifiedBy>widi arrohman</cp:lastModifiedBy>
  <dcterms:created xsi:type="dcterms:W3CDTF">2026-07-26T06:09:45Z</dcterms:created>
  <dcterms:modified xsi:type="dcterms:W3CDTF">2026-07-26T11:12:12Z</dcterms:modified>
</cp:coreProperties>
</file>